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1" hidePivotFieldList="1" defaultThemeVersion="166925"/>
  <mc:AlternateContent xmlns:mc="http://schemas.openxmlformats.org/markup-compatibility/2006">
    <mc:Choice Requires="x15">
      <x15ac:absPath xmlns:x15ac="http://schemas.microsoft.com/office/spreadsheetml/2010/11/ac" url="D:\MapUp- Assessment 2\MapUp-DA-Assessment-2024\submissions\"/>
    </mc:Choice>
  </mc:AlternateContent>
  <xr:revisionPtr revIDLastSave="0" documentId="13_ncr:1_{753DA45C-F539-454B-A91F-F0ECA1D91080}" xr6:coauthVersionLast="47" xr6:coauthVersionMax="47" xr10:uidLastSave="{00000000-0000-0000-0000-000000000000}"/>
  <bookViews>
    <workbookView xWindow="-110" yWindow="-110" windowWidth="19420" windowHeight="10420" tabRatio="849" activeTab="4"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1" i="1" l="1"/>
  <c r="C23" i="20"/>
  <c r="C24" i="20"/>
  <c r="C25" i="20"/>
  <c r="C26" i="20"/>
  <c r="C27" i="20"/>
  <c r="C28" i="20"/>
  <c r="C29" i="20"/>
  <c r="C30" i="20"/>
  <c r="C31" i="20"/>
  <c r="C32" i="20"/>
  <c r="C33" i="20"/>
  <c r="C34" i="20"/>
  <c r="C35" i="20"/>
  <c r="C36" i="20"/>
  <c r="C22" i="19" a="1"/>
  <c r="C22" i="19" s="1"/>
  <c r="D13" i="19"/>
  <c r="D14" i="19"/>
  <c r="D15" i="19"/>
  <c r="D16" i="19"/>
  <c r="D17" i="19"/>
  <c r="D18" i="19"/>
  <c r="D19" i="19"/>
  <c r="D20" i="19"/>
  <c r="D21" i="19"/>
  <c r="D12" i="19"/>
  <c r="C7" i="18"/>
  <c r="D7" i="18"/>
  <c r="E7" i="18"/>
  <c r="F7" i="18"/>
  <c r="C8" i="18"/>
  <c r="D8" i="18"/>
  <c r="E8" i="18"/>
  <c r="F8" i="18"/>
  <c r="C9" i="18"/>
  <c r="D9" i="18"/>
  <c r="E9" i="18"/>
  <c r="F9" i="18"/>
  <c r="C10" i="18"/>
  <c r="D10" i="18"/>
  <c r="E10" i="18"/>
  <c r="F10" i="18"/>
  <c r="C11" i="18"/>
  <c r="D11" i="18"/>
  <c r="E11" i="18"/>
  <c r="F11" i="18"/>
  <c r="C12" i="18"/>
  <c r="D12" i="18"/>
  <c r="E12" i="18"/>
  <c r="F12" i="18"/>
  <c r="C13" i="18"/>
  <c r="D13" i="18"/>
  <c r="E13" i="18"/>
  <c r="F13" i="18"/>
  <c r="C14" i="18"/>
  <c r="D14" i="18"/>
  <c r="E14" i="18"/>
  <c r="F14" i="18"/>
  <c r="C15" i="18"/>
  <c r="D15" i="18"/>
  <c r="E15" i="18"/>
  <c r="F15" i="18"/>
  <c r="C16" i="18"/>
  <c r="D16" i="18"/>
  <c r="E16" i="18"/>
  <c r="F16" i="18"/>
  <c r="C17" i="18"/>
  <c r="D17" i="18"/>
  <c r="E17" i="18"/>
  <c r="F17" i="18"/>
  <c r="C18" i="18"/>
  <c r="D18" i="18"/>
  <c r="E18" i="18"/>
  <c r="F18" i="18"/>
  <c r="C19" i="18"/>
  <c r="D19" i="18"/>
  <c r="E19" i="18"/>
  <c r="F19" i="18"/>
  <c r="C20" i="18"/>
  <c r="D20" i="18"/>
  <c r="E20" i="18"/>
  <c r="F20" i="18"/>
  <c r="C21" i="18"/>
  <c r="D21" i="18"/>
  <c r="E21" i="18"/>
  <c r="F21" i="18"/>
  <c r="C22" i="18"/>
  <c r="D22" i="18"/>
  <c r="E22" i="18"/>
  <c r="F22" i="18"/>
  <c r="C23" i="18"/>
  <c r="D23" i="18"/>
  <c r="E23" i="18"/>
  <c r="F23" i="18"/>
  <c r="C24" i="18"/>
  <c r="D24" i="18"/>
  <c r="E24" i="18"/>
  <c r="F24" i="18"/>
  <c r="C25" i="18"/>
  <c r="D25" i="18"/>
  <c r="E25" i="18"/>
  <c r="F25" i="18"/>
  <c r="C26" i="18"/>
  <c r="D26" i="18"/>
  <c r="E26" i="18"/>
  <c r="F26" i="18"/>
  <c r="C27" i="18"/>
  <c r="D27" i="18"/>
  <c r="E27" i="18"/>
  <c r="F27" i="18"/>
  <c r="F6" i="18"/>
  <c r="E6" i="18"/>
  <c r="D6" i="18"/>
  <c r="C6" i="18"/>
  <c r="B6" i="18"/>
  <c r="B7" i="18"/>
  <c r="B8" i="18"/>
  <c r="B9" i="18"/>
  <c r="B10" i="18"/>
  <c r="B11" i="18"/>
  <c r="B12" i="18"/>
  <c r="B13" i="18"/>
  <c r="B14" i="18"/>
  <c r="B15" i="18"/>
  <c r="B16" i="18"/>
  <c r="B17" i="18"/>
  <c r="B18" i="18"/>
  <c r="B19" i="18"/>
  <c r="B20" i="18"/>
  <c r="B21" i="18"/>
  <c r="B22" i="18"/>
  <c r="B23" i="18"/>
  <c r="B24" i="18"/>
  <c r="B25" i="18"/>
  <c r="B26" i="18"/>
  <c r="B27" i="18"/>
  <c r="B28" i="18" l="1"/>
  <c r="D30" i="18"/>
  <c r="C28" i="18"/>
  <c r="F29" i="18"/>
  <c r="E29" i="18"/>
  <c r="F28" i="18"/>
  <c r="B29" i="18"/>
  <c r="D29" i="18"/>
  <c r="E30" i="18"/>
  <c r="E28" i="18"/>
  <c r="B30" i="18"/>
  <c r="C29" i="18"/>
  <c r="F30" i="18"/>
  <c r="D28" i="18"/>
  <c r="C30"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<sst xmlns="http://schemas.openxmlformats.org/spreadsheetml/2006/main" count="441" uniqueCount="213">
  <si>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</si>
  <si>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</si>
  <si>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</si>
  <si>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</si>
  <si>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</si>
  <si>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</si>
  <si>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</si>
  <si>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</si>
  <si>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</si>
  <si>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</si>
  <si>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</si>
  <si>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</si>
  <si>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</si>
  <si>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</si>
  <si>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</si>
  <si>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</si>
  <si>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</si>
  <si>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</si>
  <si>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</si>
  <si>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</si>
  <si>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</si>
  <si>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</si>
  <si>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</si>
  <si>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</si>
  <si>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</si>
  <si>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</si>
  <si>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</si>
  <si>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</si>
  <si>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</si>
  <si>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</si>
  <si>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</si>
  <si>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</si>
  <si>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</si>
  <si>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</si>
  <si>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</si>
  <si>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</si>
  <si>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</si>
  <si>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</si>
  <si>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</si>
  <si>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</si>
  <si>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</si>
  <si>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</si>
  <si>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</si>
  <si>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</si>
  <si>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</si>
  <si>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</si>
  <si>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</si>
  <si>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</si>
  <si>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</si>
  <si>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</si>
  <si>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</si>
  <si>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</si>
  <si>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</si>
  <si>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</si>
  <si>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</si>
  <si>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</si>
  <si>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</si>
  <si>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</si>
  <si>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</si>
  <si>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</si>
  <si>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</si>
  <si>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</si>
  <si>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</si>
  <si>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</si>
  <si>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</si>
  <si>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</si>
  <si>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</si>
  <si>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</si>
  <si>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</si>
  <si>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</si>
  <si>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</si>
  <si>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</si>
  <si>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</si>
  <si>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</si>
  <si>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</si>
  <si>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</si>
  <si>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</si>
  <si>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</si>
  <si>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</si>
  <si>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</si>
  <si>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</si>
  <si>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</si>
  <si>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</si>
  <si>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</si>
  <si>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</si>
  <si>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</si>
  <si>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</si>
  <si>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</si>
  <si>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</si>
  <si>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</si>
  <si>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</si>
  <si>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</si>
  <si>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</si>
  <si>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</si>
  <si>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</si>
  <si>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</si>
  <si>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</si>
  <si>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</si>
  <si>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</si>
  <si>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</si>
  <si>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</si>
  <si>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</si>
  <si>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</si>
  <si>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</si>
  <si>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</si>
  <si>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</si>
  <si>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</si>
  <si>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</si>
  <si>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</si>
  <si>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</si>
  <si>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</si>
  <si>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</si>
  <si>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</si>
  <si>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</si>
  <si>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</si>
  <si>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</si>
  <si>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</si>
  <si>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</si>
  <si>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</si>
  <si>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</si>
  <si>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</si>
  <si>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</si>
  <si>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</si>
  <si>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</si>
  <si>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</si>
  <si>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</si>
  <si>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</si>
  <si>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</si>
  <si>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</si>
  <si>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</si>
  <si>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</si>
  <si>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</si>
  <si>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</si>
  <si>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</si>
  <si>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</si>
  <si>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</si>
  <si>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</si>
  <si>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</si>
  <si>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</si>
  <si>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</si>
  <si>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</si>
  <si>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</si>
  <si>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</si>
  <si>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</si>
  <si>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</si>
  <si>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</si>
  <si>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</si>
  <si>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</si>
  <si>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</si>
  <si>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</si>
  <si>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</si>
  <si>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</si>
  <si>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</si>
  <si>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</si>
  <si>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</si>
  <si>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</si>
  <si>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</si>
  <si>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</si>
  <si>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</si>
  <si>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</si>
  <si>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</si>
  <si>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</si>
  <si>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</si>
  <si>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</si>
  <si>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</si>
  <si>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</si>
  <si>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</si>
  <si>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</si>
  <si>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</si>
  <si>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</si>
  <si>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</si>
  <si>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</si>
  <si>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</si>
  <si>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</si>
  <si>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</si>
  <si>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</si>
  <si>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dates</t>
  </si>
  <si>
    <t>2023-05-05</t>
  </si>
  <si>
    <t>2023-05-02</t>
  </si>
  <si>
    <t>2023-05-09</t>
  </si>
  <si>
    <t>2023-05-13</t>
  </si>
  <si>
    <t>2023-05-30</t>
  </si>
  <si>
    <t>2023-05-11</t>
  </si>
  <si>
    <t>2023-05-06</t>
  </si>
  <si>
    <t>2023-06-21</t>
  </si>
  <si>
    <t>2023-06-15</t>
  </si>
  <si>
    <t>2023-06-27</t>
  </si>
  <si>
    <t>2023-07-09</t>
  </si>
  <si>
    <t>2023-07-03</t>
  </si>
  <si>
    <t>2023-06-18</t>
  </si>
  <si>
    <t>2023-07-06</t>
  </si>
  <si>
    <t>2023-05-17</t>
  </si>
  <si>
    <t>2023-05-25</t>
  </si>
  <si>
    <t>2023-06-08</t>
  </si>
  <si>
    <t>2023-06-22</t>
  </si>
  <si>
    <t>2023-06-14</t>
  </si>
  <si>
    <t>2023-06-02</t>
  </si>
  <si>
    <t>2023-05-29</t>
  </si>
  <si>
    <t>2023-07-07</t>
  </si>
  <si>
    <t>2023-07-11</t>
  </si>
  <si>
    <t>2023-08-04</t>
  </si>
  <si>
    <t>2023-08-08</t>
  </si>
  <si>
    <t>2023-07-01</t>
  </si>
  <si>
    <t>2023-08-15</t>
  </si>
  <si>
    <t>2023-08-12</t>
  </si>
  <si>
    <t>2023-08-19</t>
  </si>
  <si>
    <t>2023-08-05</t>
  </si>
  <si>
    <t>2023-08-28</t>
  </si>
  <si>
    <t>2023-08-24</t>
  </si>
  <si>
    <t>2023-08-22</t>
  </si>
  <si>
    <t>2023-09-10</t>
  </si>
  <si>
    <t>formula-"=SUMIF(H2:H40,"&gt;20")"</t>
  </si>
  <si>
    <t xml:space="preserve"> sum of all values greater than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</si>
</sst>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rgb="FF000000"/>
      <name val="Segoe UI Symbol"/>
      <family val="2"/>
    </font>
  </fonts>
  <fills count="8">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3">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3" fillId="0" borderId="0" xfId="0" applyFont="1" applyAlignment="1">
      <alignment wrapText="1"/>
    </xf>
    <xf numFmtId="0" fontId="18" fillId="0" borderId="0" xfId="0" applyFont="1" applyAlignment="1"/>
    <xf numFmtId="0" fontId="8" fillId="0" borderId="0" xfId="0" applyFont="1" applyAlignment="1">
      <alignment horizontal="center"/>
    </xf>
    <xf numFmtId="0" fontId="8" fillId="0" borderId="3" xfId="0" applyFont="1" applyBorder="1" applyAlignment="1"/>
    <xf numFmtId="0" fontId="18" fillId="0" borderId="0" xfId="0" applyFont="1" applyAlignment="1">
      <alignment horizontal="center" wrapText="1"/>
    </xf>
    <xf numFmtId="0" fontId="3" fillId="6" borderId="0" xfId="0" applyFont="1" applyFill="1"/>
    <xf numFmtId="164" fontId="3" fillId="6" borderId="0" xfId="0" applyNumberFormat="1" applyFont="1" applyFill="1"/>
    <xf numFmtId="0" fontId="3" fillId="7" borderId="0" xfId="0" applyFont="1" applyFill="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0</xdr:col>
      <xdr:colOff>2482850</xdr:colOff>
      <xdr:row>4</xdr:row>
      <xdr:rowOff>63500</xdr:rowOff>
    </xdr:from>
    <xdr:ext cx="8616950" cy="436786"/>
    <xdr:sp macro="" textlink="">
      <xdr:nvSpPr>
        <xdr:cNvPr id="2" name="TextBox 1">
          <a:extLst>
            <a:ext uri="{FF2B5EF4-FFF2-40B4-BE49-F238E27FC236}">
              <a16:creationId xmlns:a16="http://schemas.microsoft.com/office/drawing/2014/main" id="{BF10432B-C90E-4C8D-909D-DB0B03CBE3B8}"/>
            </a:ext>
          </a:extLst>
        </xdr:cNvPr>
        <xdr:cNvSpPr txBox="1"/>
      </xdr:nvSpPr>
      <xdr:spPr>
        <a:xfrm>
          <a:off x="2482850" y="863600"/>
          <a:ext cx="86169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To split the value using an inbuilt method in Excel, I use the "Text to Columns" feature in Data tab then click on "text to column" then choose Delimited and click Next</a:t>
          </a:r>
          <a:r>
            <a:rPr lang="en-US" sz="1100" baseline="0"/>
            <a:t> then select Other and type - as the delimiter and then finish.</a:t>
          </a:r>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1682750</xdr:colOff>
      <xdr:row>6</xdr:row>
      <xdr:rowOff>76200</xdr:rowOff>
    </xdr:from>
    <xdr:to>
      <xdr:col>12</xdr:col>
      <xdr:colOff>488950</xdr:colOff>
      <xdr:row>7</xdr:row>
      <xdr:rowOff>139700</xdr:rowOff>
    </xdr:to>
    <xdr:sp macro="" textlink="">
      <xdr:nvSpPr>
        <xdr:cNvPr id="2" name="TextBox 1">
          <a:extLst>
            <a:ext uri="{FF2B5EF4-FFF2-40B4-BE49-F238E27FC236}">
              <a16:creationId xmlns:a16="http://schemas.microsoft.com/office/drawing/2014/main" id="{82430F75-E125-4575-9CBB-11050D6D0477}"/>
            </a:ext>
          </a:extLst>
        </xdr:cNvPr>
        <xdr:cNvSpPr txBox="1"/>
      </xdr:nvSpPr>
      <xdr:spPr>
        <a:xfrm>
          <a:off x="1682750" y="1276350"/>
          <a:ext cx="97409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First i select the sales  column and apply the formula "=Sum(iferror(Column Range, 20)" then it return the value 600 after adding all value and in place of #NA it add 20 </a:t>
          </a:r>
        </a:p>
      </xdr:txBody>
    </xdr:sp>
    <xdr:clientData/>
  </xdr:twoCellAnchor>
  <xdr:twoCellAnchor>
    <xdr:from>
      <xdr:col>0</xdr:col>
      <xdr:colOff>1695450</xdr:colOff>
      <xdr:row>5</xdr:row>
      <xdr:rowOff>6350</xdr:rowOff>
    </xdr:from>
    <xdr:to>
      <xdr:col>7</xdr:col>
      <xdr:colOff>711200</xdr:colOff>
      <xdr:row>6</xdr:row>
      <xdr:rowOff>63500</xdr:rowOff>
    </xdr:to>
    <xdr:sp macro="" textlink="">
      <xdr:nvSpPr>
        <xdr:cNvPr id="3" name="TextBox 2">
          <a:extLst>
            <a:ext uri="{FF2B5EF4-FFF2-40B4-BE49-F238E27FC236}">
              <a16:creationId xmlns:a16="http://schemas.microsoft.com/office/drawing/2014/main" id="{23B52F71-F716-42B5-8A97-281AB4914ED2}"/>
            </a:ext>
          </a:extLst>
        </xdr:cNvPr>
        <xdr:cNvSpPr txBox="1"/>
      </xdr:nvSpPr>
      <xdr:spPr>
        <a:xfrm>
          <a:off x="1695450" y="1022350"/>
          <a:ext cx="5937250" cy="241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Formula</a:t>
          </a:r>
          <a:r>
            <a:rPr lang="en-US" sz="1100" baseline="0"/>
            <a:t> i used -  = sum(iferror(sales_range, error_value=20)-- "=SUM(IFERROR(C12:C21,20))"</a:t>
          </a:r>
        </a:p>
        <a:p>
          <a:r>
            <a:rPr lang="en-US" sz="11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88900</xdr:colOff>
      <xdr:row>2</xdr:row>
      <xdr:rowOff>171450</xdr:rowOff>
    </xdr:from>
    <xdr:to>
      <xdr:col>17</xdr:col>
      <xdr:colOff>419100</xdr:colOff>
      <xdr:row>4</xdr:row>
      <xdr:rowOff>25400</xdr:rowOff>
    </xdr:to>
    <xdr:sp macro="" textlink="">
      <xdr:nvSpPr>
        <xdr:cNvPr id="2" name="TextBox 1">
          <a:extLst>
            <a:ext uri="{FF2B5EF4-FFF2-40B4-BE49-F238E27FC236}">
              <a16:creationId xmlns:a16="http://schemas.microsoft.com/office/drawing/2014/main" id="{7DC685FC-444F-4511-B49F-84D7C53A303C}"/>
            </a:ext>
          </a:extLst>
        </xdr:cNvPr>
        <xdr:cNvSpPr txBox="1"/>
      </xdr:nvSpPr>
      <xdr:spPr>
        <a:xfrm>
          <a:off x="2578100" y="603250"/>
          <a:ext cx="10807700" cy="273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Formula I used</a:t>
          </a:r>
          <a:r>
            <a:rPr lang="en-US" sz="1100" baseline="0"/>
            <a:t> - " =IFERROR(INDEX($A$10:$J$18, MATCH(VLOOKUP(A23, $M$10:$N$18, 2, FALSE), $A$10:$A$18, 0), MATCH(VLOOKUP(B23, $M$10:$N$18, 2, FALSE), $A$9:$J$9, 0)), "") "</a:t>
          </a:r>
          <a:endParaRPr lang="en-US" sz="1100"/>
        </a:p>
      </xdr:txBody>
    </xdr:sp>
    <xdr:clientData/>
  </xdr:twoCellAnchor>
  <xdr:twoCellAnchor>
    <xdr:from>
      <xdr:col>0</xdr:col>
      <xdr:colOff>1299883</xdr:colOff>
      <xdr:row>4</xdr:row>
      <xdr:rowOff>82176</xdr:rowOff>
    </xdr:from>
    <xdr:to>
      <xdr:col>16</xdr:col>
      <xdr:colOff>351117</xdr:colOff>
      <xdr:row>6</xdr:row>
      <xdr:rowOff>156882</xdr:rowOff>
    </xdr:to>
    <xdr:sp macro="" textlink="">
      <xdr:nvSpPr>
        <xdr:cNvPr id="3" name="TextBox 2">
          <a:extLst>
            <a:ext uri="{FF2B5EF4-FFF2-40B4-BE49-F238E27FC236}">
              <a16:creationId xmlns:a16="http://schemas.microsoft.com/office/drawing/2014/main" id="{EF19C293-A0EA-4A2D-B016-0C38D1FA643F}"/>
            </a:ext>
          </a:extLst>
        </xdr:cNvPr>
        <xdr:cNvSpPr txBox="1"/>
      </xdr:nvSpPr>
      <xdr:spPr>
        <a:xfrm>
          <a:off x="1299883" y="933823"/>
          <a:ext cx="11377705" cy="4930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The formula retrieves a value from Table A by first using VLOOKUP to find the corresponding names for name_1 and name_2 from Table B. It then uses MATCH to get the row and column indices for these names and finally uses INDEX to return the value from Table A. If any part of the process results in an error, it returns an empty string instead.</a:t>
          </a: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9" t="s">
        <v>107</v>
      </c>
    </row>
    <row r="2" spans="1:3" x14ac:dyDescent="0.3">
      <c r="A2" s="2" t="s">
        <v>108</v>
      </c>
    </row>
    <row r="3" spans="1:3" x14ac:dyDescent="0.3">
      <c r="A3" s="2" t="s">
        <v>109</v>
      </c>
    </row>
    <row r="4" spans="1:3" ht="14.5" x14ac:dyDescent="0.35">
      <c r="A4" s="2" t="s">
        <v>175</v>
      </c>
      <c r="C4" s="1"/>
    </row>
    <row r="5" spans="1:3" x14ac:dyDescent="0.3">
      <c r="A5" s="2" t="s">
        <v>150</v>
      </c>
    </row>
    <row r="8" spans="1:3" x14ac:dyDescent="0.3">
      <c r="A8" s="2" t="s">
        <v>171</v>
      </c>
    </row>
    <row r="9" spans="1:3" x14ac:dyDescent="0.3">
      <c r="A9" s="36" t="s">
        <v>169</v>
      </c>
      <c r="B9" s="26" t="s">
        <v>167</v>
      </c>
    </row>
    <row r="10" spans="1:3" x14ac:dyDescent="0.3">
      <c r="A10" s="35" t="s">
        <v>170</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168</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Normal="100" workbookViewId="0">
      <pane ySplit="1" topLeftCell="A2" activePane="bottomLeft" state="frozen"/>
      <selection pane="bottomLeft" activeCell="G44" sqref="G44"/>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4" customWidth="1"/>
    <col min="5" max="5" width="9.19921875" style="1" bestFit="1" customWidth="1"/>
    <col min="6" max="6" width="10.3984375" style="24"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1.09765625" style="1" bestFit="1" customWidth="1"/>
    <col min="25" max="16384" width="9" style="1"/>
  </cols>
  <sheetData>
    <row r="1" spans="1:24" s="3" customFormat="1" ht="14.75" customHeight="1" x14ac:dyDescent="0.35">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3" t="s">
        <v>176</v>
      </c>
    </row>
    <row r="2" spans="1:24" x14ac:dyDescent="0.35">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1" t="s">
        <v>177</v>
      </c>
    </row>
    <row r="3" spans="1:24" x14ac:dyDescent="0.35">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1" t="s">
        <v>178</v>
      </c>
    </row>
    <row r="4" spans="1:24" x14ac:dyDescent="0.35">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1" t="s">
        <v>179</v>
      </c>
    </row>
    <row r="5" spans="1:24" x14ac:dyDescent="0.35">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1" t="s">
        <v>180</v>
      </c>
    </row>
    <row r="6" spans="1:24" x14ac:dyDescent="0.35">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1" t="s">
        <v>181</v>
      </c>
    </row>
    <row r="7" spans="1:24" x14ac:dyDescent="0.35">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1" t="s">
        <v>182</v>
      </c>
    </row>
    <row r="8" spans="1:24" x14ac:dyDescent="0.35">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1" t="s">
        <v>183</v>
      </c>
    </row>
    <row r="9" spans="1:24" x14ac:dyDescent="0.35">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1" t="s">
        <v>184</v>
      </c>
    </row>
    <row r="10" spans="1:24" x14ac:dyDescent="0.35">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1" t="s">
        <v>185</v>
      </c>
    </row>
    <row r="11" spans="1:24" x14ac:dyDescent="0.35">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1" t="s">
        <v>186</v>
      </c>
    </row>
    <row r="12" spans="1:24" x14ac:dyDescent="0.35">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t="s">
        <v>187</v>
      </c>
    </row>
    <row r="13" spans="1:24" x14ac:dyDescent="0.35">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1" t="s">
        <v>188</v>
      </c>
    </row>
    <row r="14" spans="1:24" x14ac:dyDescent="0.35">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1" t="s">
        <v>189</v>
      </c>
    </row>
    <row r="15" spans="1:24" x14ac:dyDescent="0.35">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1" t="s">
        <v>190</v>
      </c>
    </row>
    <row r="16" spans="1:24" x14ac:dyDescent="0.35">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1" t="s">
        <v>191</v>
      </c>
    </row>
    <row r="17" spans="1:24" x14ac:dyDescent="0.35">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1" t="s">
        <v>192</v>
      </c>
    </row>
    <row r="18" spans="1:24" x14ac:dyDescent="0.35">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1" t="s">
        <v>193</v>
      </c>
    </row>
    <row r="19" spans="1:24" x14ac:dyDescent="0.35">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1" t="s">
        <v>194</v>
      </c>
    </row>
    <row r="20" spans="1:24" x14ac:dyDescent="0.35">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1" t="s">
        <v>195</v>
      </c>
    </row>
    <row r="21" spans="1:24" x14ac:dyDescent="0.35">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1" t="s">
        <v>196</v>
      </c>
    </row>
    <row r="22" spans="1:24" x14ac:dyDescent="0.35">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1" t="s">
        <v>197</v>
      </c>
    </row>
    <row r="23" spans="1:24" x14ac:dyDescent="0.35">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1" t="s">
        <v>188</v>
      </c>
    </row>
    <row r="24" spans="1:24" x14ac:dyDescent="0.35">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1" t="s">
        <v>198</v>
      </c>
    </row>
    <row r="25" spans="1:24" x14ac:dyDescent="0.35">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1" t="s">
        <v>199</v>
      </c>
    </row>
    <row r="26" spans="1:24" x14ac:dyDescent="0.35">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1" t="s">
        <v>200</v>
      </c>
    </row>
    <row r="27" spans="1:24" x14ac:dyDescent="0.35">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1" t="s">
        <v>201</v>
      </c>
    </row>
    <row r="28" spans="1:24" x14ac:dyDescent="0.35">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1" t="s">
        <v>202</v>
      </c>
    </row>
    <row r="29" spans="1:24" x14ac:dyDescent="0.35">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1" t="s">
        <v>203</v>
      </c>
    </row>
    <row r="30" spans="1:24" x14ac:dyDescent="0.35">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1" t="s">
        <v>204</v>
      </c>
    </row>
    <row r="31" spans="1:24" x14ac:dyDescent="0.35">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1" t="s">
        <v>205</v>
      </c>
    </row>
    <row r="32" spans="1:24" x14ac:dyDescent="0.35">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1" t="s">
        <v>206</v>
      </c>
    </row>
    <row r="33" spans="1:24" x14ac:dyDescent="0.35">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1" t="s">
        <v>207</v>
      </c>
    </row>
    <row r="34" spans="1:24" x14ac:dyDescent="0.35">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1" t="s">
        <v>208</v>
      </c>
    </row>
    <row r="35" spans="1:24" x14ac:dyDescent="0.35">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1" t="s">
        <v>209</v>
      </c>
    </row>
    <row r="36" spans="1:24" x14ac:dyDescent="0.35">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1" t="s">
        <v>210</v>
      </c>
    </row>
    <row r="37" spans="1:24" x14ac:dyDescent="0.35">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1" t="s">
        <v>205</v>
      </c>
    </row>
    <row r="38" spans="1:24" x14ac:dyDescent="0.35">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1" t="s">
        <v>206</v>
      </c>
    </row>
    <row r="39" spans="1:24" x14ac:dyDescent="0.35">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1" t="s">
        <v>207</v>
      </c>
    </row>
    <row r="40" spans="1:24" x14ac:dyDescent="0.35">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1" t="s">
        <v>208</v>
      </c>
    </row>
    <row r="41" spans="1:24" x14ac:dyDescent="0.35">
      <c r="E41" s="50" t="s">
        <v>212</v>
      </c>
      <c r="F41" s="51"/>
      <c r="G41" s="50"/>
      <c r="H41" s="52">
        <f>SUMIF(H2:H40,"&gt;20")</f>
        <v>1473.0000000000002</v>
      </c>
    </row>
  </sheetData>
  <conditionalFormatting sqref="A1:A1048576">
    <cfRule type="duplicateValues" dxfId="3" priority="4"/>
  </conditionalFormatting>
  <conditionalFormatting sqref="B1:B1048576">
    <cfRule type="duplicateValues" dxfId="2" priority="3"/>
  </conditionalFormatting>
  <conditionalFormatting sqref="G2:W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B5" sqref="B5"/>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174</v>
      </c>
    </row>
    <row r="2" spans="1:5" x14ac:dyDescent="0.35">
      <c r="A2" s="2"/>
      <c r="B2" s="5" t="s">
        <v>158</v>
      </c>
      <c r="C2" s="2"/>
    </row>
    <row r="3" spans="1:5" x14ac:dyDescent="0.35">
      <c r="A3" s="6">
        <v>1</v>
      </c>
      <c r="B3" s="2" t="s">
        <v>106</v>
      </c>
      <c r="C3" s="2" t="s">
        <v>45</v>
      </c>
      <c r="E3" s="1">
        <v>5</v>
      </c>
    </row>
    <row r="4" spans="1:5" x14ac:dyDescent="0.35">
      <c r="A4" s="6">
        <v>2</v>
      </c>
      <c r="B4" s="2" t="s">
        <v>46</v>
      </c>
      <c r="C4" s="2"/>
      <c r="E4" s="1">
        <v>5</v>
      </c>
    </row>
    <row r="5" spans="1:5" x14ac:dyDescent="0.35">
      <c r="A5" s="6">
        <v>3</v>
      </c>
      <c r="B5" s="2" t="s">
        <v>104</v>
      </c>
      <c r="C5" s="34" t="s">
        <v>211</v>
      </c>
      <c r="E5" s="1">
        <v>10</v>
      </c>
    </row>
    <row r="6" spans="1:5" x14ac:dyDescent="0.35">
      <c r="A6" s="6">
        <v>4</v>
      </c>
      <c r="B6" s="2" t="s">
        <v>105</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B30" sqref="B30:F30"/>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41" customFormat="1" ht="21" x14ac:dyDescent="0.5">
      <c r="A1" s="42" t="s">
        <v>55</v>
      </c>
      <c r="B1" s="41" t="s">
        <v>162</v>
      </c>
    </row>
    <row r="2" spans="1:7" s="41" customFormat="1" ht="21" x14ac:dyDescent="0.5">
      <c r="B2" s="41" t="s">
        <v>159</v>
      </c>
    </row>
    <row r="3" spans="1:7" ht="14.5" x14ac:dyDescent="0.35">
      <c r="A3" s="1"/>
      <c r="B3" s="1"/>
      <c r="C3" s="1"/>
      <c r="D3" s="1"/>
      <c r="E3" s="1"/>
      <c r="F3" s="1"/>
      <c r="G3" s="1"/>
    </row>
    <row r="4" spans="1:7" ht="23.5" x14ac:dyDescent="0.55000000000000004">
      <c r="A4" s="18" t="s">
        <v>160</v>
      </c>
      <c r="B4" s="1"/>
      <c r="C4" s="1"/>
      <c r="D4" s="1"/>
      <c r="E4" s="1"/>
      <c r="F4" s="1"/>
      <c r="G4" s="1"/>
    </row>
    <row r="5" spans="1:7" ht="14.5" x14ac:dyDescent="0.35">
      <c r="A5" s="20" t="s">
        <v>64</v>
      </c>
      <c r="B5" s="21" t="s">
        <v>79</v>
      </c>
      <c r="C5" s="22" t="s">
        <v>71</v>
      </c>
      <c r="D5" s="21" t="s">
        <v>75</v>
      </c>
      <c r="E5" s="22" t="s">
        <v>76</v>
      </c>
      <c r="F5" s="23" t="s">
        <v>77</v>
      </c>
    </row>
    <row r="6" spans="1:7" ht="14.5" x14ac:dyDescent="0.35">
      <c r="A6" s="7" t="s">
        <v>40</v>
      </c>
      <c r="B6" s="12">
        <f>VLOOKUP(A6,Dataset!A1:X40,7,0)</f>
        <v>2.7</v>
      </c>
      <c r="C6" s="12">
        <f>VLOOKUP(A6,Dataset!A1:X40,14,0)</f>
        <v>7.6</v>
      </c>
      <c r="D6" s="12">
        <f>VLOOKUP(A6,Dataset!A1:X40,18,0)</f>
        <v>4.2</v>
      </c>
      <c r="E6" s="12">
        <f>VLOOKUP(A6,Dataset!A1:X40,20,0)</f>
        <v>8.9</v>
      </c>
      <c r="F6" s="8">
        <f>VLOOKUP(A6,Dataset!A1:X40,22,0)</f>
        <v>4.2</v>
      </c>
    </row>
    <row r="7" spans="1:7" ht="14.5" x14ac:dyDescent="0.35">
      <c r="A7" s="7" t="s">
        <v>4</v>
      </c>
      <c r="B7" s="12">
        <f>VLOOKUP(A7,Dataset!A2:X41,7,0)</f>
        <v>2.7</v>
      </c>
      <c r="C7" s="12">
        <f>VLOOKUP(A7,Dataset!A2:X41,14,0)</f>
        <v>7.6</v>
      </c>
      <c r="D7" s="12">
        <f>VLOOKUP(A7,Dataset!A2:X41,18,0)</f>
        <v>4.2</v>
      </c>
      <c r="E7" s="12">
        <f>VLOOKUP(A7,Dataset!A2:X41,20,0)</f>
        <v>8.9</v>
      </c>
      <c r="F7" s="8">
        <f>VLOOKUP(A7,Dataset!A2:X41,22,0)</f>
        <v>4.2</v>
      </c>
    </row>
    <row r="8" spans="1:7" ht="14.5" x14ac:dyDescent="0.35">
      <c r="A8" s="7" t="s">
        <v>7</v>
      </c>
      <c r="B8" s="12">
        <f>VLOOKUP(A8,Dataset!A3:X42,7,0)</f>
        <v>3.6</v>
      </c>
      <c r="C8" s="12">
        <f>VLOOKUP(A8,Dataset!A3:X42,14,0)</f>
        <v>11.1</v>
      </c>
      <c r="D8" s="12">
        <f>VLOOKUP(A8,Dataset!A3:X42,18,0)</f>
        <v>5.8</v>
      </c>
      <c r="E8" s="12">
        <f>VLOOKUP(A8,Dataset!A3:X42,20,0)</f>
        <v>12.2</v>
      </c>
      <c r="F8" s="8">
        <f>VLOOKUP(A8,Dataset!A3:X42,22,0)</f>
        <v>5.8</v>
      </c>
    </row>
    <row r="9" spans="1:7" ht="14.5" x14ac:dyDescent="0.35">
      <c r="A9" s="7" t="s">
        <v>8</v>
      </c>
      <c r="B9" s="12">
        <f>VLOOKUP(A9,Dataset!A4:X43,7,0)</f>
        <v>4.9000000000000004</v>
      </c>
      <c r="C9" s="12">
        <f>VLOOKUP(A9,Dataset!A4:X43,14,0)</f>
        <v>13.3</v>
      </c>
      <c r="D9" s="12">
        <f>VLOOKUP(A9,Dataset!A4:X43,18,0)</f>
        <v>8.1</v>
      </c>
      <c r="E9" s="12">
        <f>VLOOKUP(A9,Dataset!A4:X43,20,0)</f>
        <v>17</v>
      </c>
      <c r="F9" s="8">
        <f>VLOOKUP(A9,Dataset!A4:X43,22,0)</f>
        <v>8.1</v>
      </c>
    </row>
    <row r="10" spans="1:7" ht="14.5" x14ac:dyDescent="0.35">
      <c r="A10" s="7" t="s">
        <v>11</v>
      </c>
      <c r="B10" s="12">
        <f>VLOOKUP(A10,Dataset!A5:X44,7,0)</f>
        <v>9.4</v>
      </c>
      <c r="C10" s="12">
        <f>VLOOKUP(A10,Dataset!A5:X44,14,0)</f>
        <v>28.3</v>
      </c>
      <c r="D10" s="12">
        <f>VLOOKUP(A10,Dataset!A5:X44,18,0)</f>
        <v>16.100000000000001</v>
      </c>
      <c r="E10" s="12">
        <f>VLOOKUP(A10,Dataset!A5:X44,20,0)</f>
        <v>32.799999999999997</v>
      </c>
      <c r="F10" s="8">
        <f>VLOOKUP(A10,Dataset!A5:X44,22,0)</f>
        <v>16.100000000000001</v>
      </c>
    </row>
    <row r="11" spans="1:7" ht="14.5" x14ac:dyDescent="0.35">
      <c r="A11" s="7" t="s">
        <v>12</v>
      </c>
      <c r="B11" s="12">
        <f>VLOOKUP(A11,Dataset!A6:X45,7,0)</f>
        <v>11.6</v>
      </c>
      <c r="C11" s="12">
        <f>VLOOKUP(A11,Dataset!A6:X45,14,0)</f>
        <v>35.200000000000003</v>
      </c>
      <c r="D11" s="12">
        <f>VLOOKUP(A11,Dataset!A6:X45,18,0)</f>
        <v>21.3</v>
      </c>
      <c r="E11" s="12">
        <f>VLOOKUP(A11,Dataset!A6:X45,20,0)</f>
        <v>43</v>
      </c>
      <c r="F11" s="8">
        <f>VLOOKUP(A11,Dataset!A6:X45,22,0)</f>
        <v>21.3</v>
      </c>
    </row>
    <row r="12" spans="1:7" ht="14.5" x14ac:dyDescent="0.35">
      <c r="A12" s="7" t="s">
        <v>14</v>
      </c>
      <c r="B12" s="12">
        <f>VLOOKUP(A12,Dataset!A7:X46,7,0)</f>
        <v>18.399999999999999</v>
      </c>
      <c r="C12" s="12">
        <f>VLOOKUP(A12,Dataset!A7:X46,14,0)</f>
        <v>55.6</v>
      </c>
      <c r="D12" s="12">
        <f>VLOOKUP(A12,Dataset!A7:X46,18,0)</f>
        <v>33.799999999999997</v>
      </c>
      <c r="E12" s="12">
        <f>VLOOKUP(A12,Dataset!A7:X46,20,0)</f>
        <v>67.900000000000006</v>
      </c>
      <c r="F12" s="8">
        <f>VLOOKUP(A12,Dataset!A7:X46,22,0)</f>
        <v>33.799999999999997</v>
      </c>
    </row>
    <row r="13" spans="1:7" ht="14.5" x14ac:dyDescent="0.35">
      <c r="A13" s="7" t="s">
        <v>15</v>
      </c>
      <c r="B13" s="12">
        <f>VLOOKUP(A13,Dataset!A8:X47,7,0)</f>
        <v>0</v>
      </c>
      <c r="C13" s="12">
        <f>VLOOKUP(A13,Dataset!A8:X47,14,0)</f>
        <v>0</v>
      </c>
      <c r="D13" s="12">
        <f>VLOOKUP(A13,Dataset!A8:X47,18,0)</f>
        <v>0</v>
      </c>
      <c r="E13" s="12">
        <f>VLOOKUP(A13,Dataset!A8:X47,20,0)</f>
        <v>0</v>
      </c>
      <c r="F13" s="8">
        <f>VLOOKUP(A13,Dataset!A8:X47,22,0)</f>
        <v>0</v>
      </c>
    </row>
    <row r="14" spans="1:7" ht="14.5" x14ac:dyDescent="0.35">
      <c r="A14" s="7" t="s">
        <v>16</v>
      </c>
      <c r="B14" s="12">
        <f>VLOOKUP(A14,Dataset!A9:X48,7,0)</f>
        <v>21.9</v>
      </c>
      <c r="C14" s="12">
        <f>VLOOKUP(A14,Dataset!A9:X48,14,0)</f>
        <v>61.5</v>
      </c>
      <c r="D14" s="12">
        <f>VLOOKUP(A14,Dataset!A9:X48,18,0)</f>
        <v>40.1</v>
      </c>
      <c r="E14" s="12">
        <f>VLOOKUP(A14,Dataset!A9:X48,20,0)</f>
        <v>76.599999999999994</v>
      </c>
      <c r="F14" s="8">
        <f>VLOOKUP(A14,Dataset!A9:X48,22,0)</f>
        <v>40.1</v>
      </c>
    </row>
    <row r="15" spans="1:7" ht="14.5" x14ac:dyDescent="0.35">
      <c r="A15" s="7" t="s">
        <v>18</v>
      </c>
      <c r="B15" s="12">
        <f>VLOOKUP(A15,Dataset!A10:X49,7,0)</f>
        <v>26.8</v>
      </c>
      <c r="C15" s="12">
        <f>VLOOKUP(A15,Dataset!A10:X49,14,0)</f>
        <v>79.599999999999994</v>
      </c>
      <c r="D15" s="12">
        <f>VLOOKUP(A15,Dataset!A10:X49,18,0)</f>
        <v>47.9</v>
      </c>
      <c r="E15" s="12">
        <f>VLOOKUP(A15,Dataset!A10:X49,20,0)</f>
        <v>96.8</v>
      </c>
      <c r="F15" s="8">
        <f>VLOOKUP(A15,Dataset!A10:X49,22,0)</f>
        <v>47.9</v>
      </c>
    </row>
    <row r="16" spans="1:7" ht="14.5" x14ac:dyDescent="0.35">
      <c r="A16" s="7" t="s">
        <v>20</v>
      </c>
      <c r="B16" s="12">
        <f>VLOOKUP(A16,Dataset!A11:X50,7,0)</f>
        <v>28.5</v>
      </c>
      <c r="C16" s="12">
        <f>VLOOKUP(A16,Dataset!A11:X50,14,0)</f>
        <v>85.4</v>
      </c>
      <c r="D16" s="12">
        <f>VLOOKUP(A16,Dataset!A11:X50,18,0)</f>
        <v>52.3</v>
      </c>
      <c r="E16" s="12">
        <f>VLOOKUP(A16,Dataset!A11:X50,20,0)</f>
        <v>106.1</v>
      </c>
      <c r="F16" s="8">
        <f>VLOOKUP(A16,Dataset!A11:X50,22,0)</f>
        <v>52.3</v>
      </c>
    </row>
    <row r="17" spans="1:6" ht="14.5" x14ac:dyDescent="0.35">
      <c r="A17" s="7" t="s">
        <v>22</v>
      </c>
      <c r="B17" s="12">
        <f>VLOOKUP(A17,Dataset!A12:X51,7,0)</f>
        <v>30.7</v>
      </c>
      <c r="C17" s="12">
        <f>VLOOKUP(A17,Dataset!A12:X51,14,0)</f>
        <v>92.1</v>
      </c>
      <c r="D17" s="12">
        <f>VLOOKUP(A17,Dataset!A12:X51,18,0)</f>
        <v>57</v>
      </c>
      <c r="E17" s="12">
        <f>VLOOKUP(A17,Dataset!A12:X51,20,0)</f>
        <v>115.1</v>
      </c>
      <c r="F17" s="8">
        <f>VLOOKUP(A17,Dataset!A12:X51,22,0)</f>
        <v>57</v>
      </c>
    </row>
    <row r="18" spans="1:6" ht="14.5" x14ac:dyDescent="0.35">
      <c r="A18" s="7" t="s">
        <v>23</v>
      </c>
      <c r="B18" s="12">
        <f>VLOOKUP(A18,Dataset!A13:X52,7,0)</f>
        <v>33.799999999999997</v>
      </c>
      <c r="C18" s="12">
        <f>VLOOKUP(A18,Dataset!A13:X52,14,0)</f>
        <v>101.3</v>
      </c>
      <c r="D18" s="12">
        <f>VLOOKUP(A18,Dataset!A13:X52,18,0)</f>
        <v>61.4</v>
      </c>
      <c r="E18" s="12">
        <f>VLOOKUP(A18,Dataset!A13:X52,20,0)</f>
        <v>124.4</v>
      </c>
      <c r="F18" s="8">
        <f>VLOOKUP(A18,Dataset!A13:X52,22,0)</f>
        <v>61.4</v>
      </c>
    </row>
    <row r="19" spans="1:6" ht="14.5" x14ac:dyDescent="0.35">
      <c r="A19" s="7" t="s">
        <v>24</v>
      </c>
      <c r="B19" s="12">
        <f>VLOOKUP(A19,Dataset!A14:X53,7,0)</f>
        <v>34.700000000000003</v>
      </c>
      <c r="C19" s="12">
        <f>VLOOKUP(A19,Dataset!A14:X53,14,0)</f>
        <v>106.1</v>
      </c>
      <c r="D19" s="12">
        <f>VLOOKUP(A19,Dataset!A14:X53,18,0)</f>
        <v>63.6</v>
      </c>
      <c r="E19" s="12">
        <f>VLOOKUP(A19,Dataset!A14:X53,20,0)</f>
        <v>128.6</v>
      </c>
      <c r="F19" s="8">
        <f>VLOOKUP(A19,Dataset!A14:X53,22,0)</f>
        <v>63.6</v>
      </c>
    </row>
    <row r="20" spans="1:6" ht="14.5" x14ac:dyDescent="0.35">
      <c r="A20" s="7" t="s">
        <v>28</v>
      </c>
      <c r="B20" s="12">
        <f>VLOOKUP(A20,Dataset!A15:X54,7,0)</f>
        <v>0</v>
      </c>
      <c r="C20" s="12">
        <f>VLOOKUP(A20,Dataset!A15:X54,14,0)</f>
        <v>0</v>
      </c>
      <c r="D20" s="12">
        <f>VLOOKUP(A20,Dataset!A15:X54,18,0)</f>
        <v>0</v>
      </c>
      <c r="E20" s="12">
        <f>VLOOKUP(A20,Dataset!A15:X54,20,0)</f>
        <v>0</v>
      </c>
      <c r="F20" s="8">
        <f>VLOOKUP(A20,Dataset!A15:X54,22,0)</f>
        <v>0</v>
      </c>
    </row>
    <row r="21" spans="1:6" ht="14.5" x14ac:dyDescent="0.35">
      <c r="A21" s="7" t="s">
        <v>57</v>
      </c>
      <c r="B21" s="12">
        <f>VLOOKUP(A21,Dataset!A16:X55,7,0)</f>
        <v>41.3</v>
      </c>
      <c r="C21" s="12">
        <f>VLOOKUP(A21,Dataset!A16:X55,14,0)</f>
        <v>124.4</v>
      </c>
      <c r="D21" s="12">
        <f>VLOOKUP(A21,Dataset!A16:X55,18,0)</f>
        <v>75</v>
      </c>
      <c r="E21" s="12">
        <f>VLOOKUP(A21,Dataset!A16:X55,20,0)</f>
        <v>151.5</v>
      </c>
      <c r="F21" s="8">
        <f>VLOOKUP(A21,Dataset!A16:X55,22,0)</f>
        <v>75</v>
      </c>
    </row>
    <row r="22" spans="1:6" ht="14.5" x14ac:dyDescent="0.35">
      <c r="A22" s="7" t="s">
        <v>58</v>
      </c>
      <c r="B22" s="12">
        <f>VLOOKUP(A22,Dataset!A17:X56,7,0)</f>
        <v>-1</v>
      </c>
      <c r="C22" s="12">
        <f>VLOOKUP(A22,Dataset!A17:X56,14,0)</f>
        <v>-1</v>
      </c>
      <c r="D22" s="12">
        <f>VLOOKUP(A22,Dataset!A17:X56,18,0)</f>
        <v>-1</v>
      </c>
      <c r="E22" s="12">
        <f>VLOOKUP(A22,Dataset!A17:X56,20,0)</f>
        <v>-1</v>
      </c>
      <c r="F22" s="8">
        <f>VLOOKUP(A22,Dataset!A17:X56,22,0)</f>
        <v>-1</v>
      </c>
    </row>
    <row r="23" spans="1:6" ht="14.5" x14ac:dyDescent="0.35">
      <c r="A23" s="7" t="s">
        <v>31</v>
      </c>
      <c r="B23" s="12">
        <f>VLOOKUP(A23,Dataset!A18:X57,7,0)</f>
        <v>45</v>
      </c>
      <c r="C23" s="12">
        <f>VLOOKUP(A23,Dataset!A18:X57,14,0)</f>
        <v>133.4</v>
      </c>
      <c r="D23" s="12">
        <f>VLOOKUP(A23,Dataset!A18:X57,18,0)</f>
        <v>79.400000000000006</v>
      </c>
      <c r="E23" s="12">
        <f>VLOOKUP(A23,Dataset!A18:X57,20,0)</f>
        <v>160.9</v>
      </c>
      <c r="F23" s="8">
        <f>VLOOKUP(A23,Dataset!A18:X57,22,0)</f>
        <v>79.400000000000006</v>
      </c>
    </row>
    <row r="24" spans="1:6" ht="14.5" x14ac:dyDescent="0.35">
      <c r="A24" s="7" t="s">
        <v>32</v>
      </c>
      <c r="B24" s="12">
        <f>VLOOKUP(A24,Dataset!A19:X58,7,0)</f>
        <v>-1</v>
      </c>
      <c r="C24" s="12">
        <f>VLOOKUP(A24,Dataset!A19:X58,14,0)</f>
        <v>-1</v>
      </c>
      <c r="D24" s="12">
        <f>VLOOKUP(A24,Dataset!A19:X58,18,0)</f>
        <v>-1</v>
      </c>
      <c r="E24" s="12">
        <f>VLOOKUP(A24,Dataset!A19:X58,20,0)</f>
        <v>-1</v>
      </c>
      <c r="F24" s="8">
        <f>VLOOKUP(A24,Dataset!A19:X58,22,0)</f>
        <v>-1</v>
      </c>
    </row>
    <row r="25" spans="1:6" ht="14.5" x14ac:dyDescent="0.35">
      <c r="A25" s="7" t="s">
        <v>34</v>
      </c>
      <c r="B25" s="12">
        <f>VLOOKUP(A25,Dataset!A20:X59,7,0)</f>
        <v>43.3</v>
      </c>
      <c r="C25" s="12">
        <f>VLOOKUP(A25,Dataset!A20:X59,14,0)</f>
        <v>128.6</v>
      </c>
      <c r="D25" s="12">
        <f>VLOOKUP(A25,Dataset!A20:X59,18,0)</f>
        <v>79.400000000000006</v>
      </c>
      <c r="E25" s="12">
        <f>VLOOKUP(A25,Dataset!A20:X59,20,0)</f>
        <v>160.9</v>
      </c>
      <c r="F25" s="8">
        <f>VLOOKUP(A25,Dataset!A20:X59,22,0)</f>
        <v>79.400000000000006</v>
      </c>
    </row>
    <row r="26" spans="1:6" ht="14.5" x14ac:dyDescent="0.35">
      <c r="A26" s="7" t="s">
        <v>37</v>
      </c>
      <c r="B26" s="12">
        <f>VLOOKUP(A26,Dataset!A21:X60,7,0)</f>
        <v>49.1</v>
      </c>
      <c r="C26" s="12">
        <f>VLOOKUP(A26,Dataset!A21:X60,14,0)</f>
        <v>146.80000000000001</v>
      </c>
      <c r="D26" s="12">
        <f>VLOOKUP(A26,Dataset!A21:X60,18,0)</f>
        <v>90.9</v>
      </c>
      <c r="E26" s="12">
        <f>VLOOKUP(A26,Dataset!A21:X60,20,0)</f>
        <v>183.5</v>
      </c>
      <c r="F26" s="8">
        <f>VLOOKUP(A26,Dataset!A21:X60,22,0)</f>
        <v>90.9</v>
      </c>
    </row>
    <row r="27" spans="1:6" ht="14.5" x14ac:dyDescent="0.35">
      <c r="A27" s="7" t="s">
        <v>39</v>
      </c>
      <c r="B27" s="12">
        <f>VLOOKUP(A27,Dataset!A22:X61,7,0)</f>
        <v>51.8</v>
      </c>
      <c r="C27" s="12">
        <f>VLOOKUP(A27,Dataset!A22:X61,14,0)</f>
        <v>156.4</v>
      </c>
      <c r="D27" s="12">
        <f>VLOOKUP(A27,Dataset!A22:X61,18,0)</f>
        <v>93.1</v>
      </c>
      <c r="E27" s="12">
        <f>VLOOKUP(A27,Dataset!A22:X61,20,0)</f>
        <v>188.1</v>
      </c>
      <c r="F27" s="8">
        <f>VLOOKUP(A27,Dataset!A22:X61,22,0)</f>
        <v>93.1</v>
      </c>
    </row>
    <row r="28" spans="1:6" ht="14.5" x14ac:dyDescent="0.35">
      <c r="A28" s="19" t="s">
        <v>82</v>
      </c>
      <c r="B28" s="31">
        <f>MIN(B6:B27)</f>
        <v>-1</v>
      </c>
      <c r="C28" s="31">
        <f t="shared" ref="C28:F28" si="0">MIN(C6:C27)</f>
        <v>-1</v>
      </c>
      <c r="D28" s="31">
        <f t="shared" si="0"/>
        <v>-1</v>
      </c>
      <c r="E28" s="31">
        <f t="shared" si="0"/>
        <v>-1</v>
      </c>
      <c r="F28" s="31">
        <f t="shared" si="0"/>
        <v>-1</v>
      </c>
    </row>
    <row r="29" spans="1:6" ht="14.5" x14ac:dyDescent="0.35">
      <c r="A29" s="19" t="s">
        <v>83</v>
      </c>
      <c r="B29" s="31">
        <f>MAX(B6:B27)</f>
        <v>51.8</v>
      </c>
      <c r="C29" s="31">
        <f t="shared" ref="C29:F29" si="1">MAX(C6:C27)</f>
        <v>156.4</v>
      </c>
      <c r="D29" s="31">
        <f t="shared" si="1"/>
        <v>93.1</v>
      </c>
      <c r="E29" s="31">
        <f t="shared" si="1"/>
        <v>188.1</v>
      </c>
      <c r="F29" s="31">
        <f t="shared" si="1"/>
        <v>93.1</v>
      </c>
    </row>
    <row r="30" spans="1:6" ht="14.5" x14ac:dyDescent="0.35">
      <c r="A30" s="19" t="s">
        <v>84</v>
      </c>
      <c r="B30" s="31">
        <f>AVERAGE(B6:B27)</f>
        <v>20.827272727272728</v>
      </c>
      <c r="C30" s="31">
        <f t="shared" ref="C30:F30" si="2">AVERAGE(C6:C27)</f>
        <v>62.377272727272725</v>
      </c>
      <c r="D30" s="31">
        <f t="shared" si="2"/>
        <v>37.800000000000004</v>
      </c>
      <c r="E30" s="31">
        <f t="shared" si="2"/>
        <v>76.418181818181822</v>
      </c>
      <c r="F30" s="31">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O54"/>
  <sheetViews>
    <sheetView tabSelected="1" zoomScaleNormal="100" workbookViewId="0">
      <selection activeCell="I8" sqref="I8"/>
    </sheetView>
  </sheetViews>
  <sheetFormatPr defaultColWidth="11" defaultRowHeight="14.5" x14ac:dyDescent="0.35"/>
  <cols>
    <col min="1" max="1" width="39.796875" style="1" bestFit="1" customWidth="1"/>
    <col min="2" max="16384" width="11" style="1"/>
  </cols>
  <sheetData>
    <row r="1" spans="1:15" s="41" customFormat="1" ht="21" x14ac:dyDescent="0.5">
      <c r="A1" s="42" t="s">
        <v>56</v>
      </c>
      <c r="B1" s="41" t="s">
        <v>172</v>
      </c>
    </row>
    <row r="2" spans="1:15" customFormat="1" ht="13" x14ac:dyDescent="0.3"/>
    <row r="3" spans="1:15" s="2" customFormat="1" x14ac:dyDescent="0.35">
      <c r="B3" s="1"/>
    </row>
    <row r="4" spans="1:15" s="2" customFormat="1" x14ac:dyDescent="0.35">
      <c r="B4" s="1" t="s">
        <v>149</v>
      </c>
    </row>
    <row r="5" spans="1:15" ht="18.5" customHeight="1" x14ac:dyDescent="0.45">
      <c r="A5" s="43" t="s">
        <v>53</v>
      </c>
      <c r="B5" s="49"/>
      <c r="C5" s="49"/>
      <c r="D5" s="49"/>
      <c r="E5" s="49"/>
      <c r="F5" s="49"/>
      <c r="G5" s="49"/>
      <c r="H5" s="49"/>
      <c r="I5" s="49"/>
      <c r="J5" s="49"/>
      <c r="K5" s="49"/>
      <c r="L5" s="49"/>
      <c r="M5" s="49"/>
      <c r="N5" s="49"/>
      <c r="O5" s="49"/>
    </row>
    <row r="6" spans="1:15" ht="18.5" x14ac:dyDescent="0.45">
      <c r="A6" s="43" t="s">
        <v>151</v>
      </c>
      <c r="B6" s="46"/>
      <c r="C6" s="46"/>
      <c r="D6" s="46"/>
      <c r="E6" s="45"/>
      <c r="F6" s="45"/>
      <c r="G6" s="45"/>
      <c r="H6" s="45"/>
      <c r="I6" s="45"/>
      <c r="J6" s="45"/>
      <c r="K6" s="45"/>
      <c r="L6" s="45"/>
      <c r="M6" s="45"/>
    </row>
    <row r="7" spans="1:15" ht="18.5" x14ac:dyDescent="0.45">
      <c r="A7" s="43"/>
      <c r="B7" s="46"/>
      <c r="C7" s="46"/>
      <c r="D7" s="46"/>
    </row>
    <row r="9" spans="1:15" ht="23.5" x14ac:dyDescent="0.55000000000000004">
      <c r="A9" s="18" t="s">
        <v>163</v>
      </c>
      <c r="I9" s="2"/>
      <c r="J9" s="2"/>
    </row>
    <row r="10" spans="1:15" x14ac:dyDescent="0.35">
      <c r="A10" s="33" t="s">
        <v>102</v>
      </c>
      <c r="B10" s="17" t="s">
        <v>49</v>
      </c>
      <c r="C10" s="17" t="s">
        <v>50</v>
      </c>
      <c r="D10" s="17" t="s">
        <v>51</v>
      </c>
      <c r="E10" s="17" t="s">
        <v>52</v>
      </c>
      <c r="F10" s="17" t="s">
        <v>54</v>
      </c>
      <c r="I10" s="2"/>
      <c r="J10" s="2"/>
    </row>
    <row r="11" spans="1:15" x14ac:dyDescent="0.35">
      <c r="A11" s="9" t="s">
        <v>119</v>
      </c>
      <c r="B11" s="13">
        <v>20000</v>
      </c>
      <c r="C11" s="13" t="s">
        <v>5</v>
      </c>
      <c r="D11" s="13">
        <v>0</v>
      </c>
      <c r="E11" s="11" t="s">
        <v>6</v>
      </c>
      <c r="F11" s="11">
        <v>24</v>
      </c>
      <c r="I11" s="2"/>
      <c r="J11" s="2"/>
    </row>
    <row r="14" spans="1:15" ht="23.5" x14ac:dyDescent="0.55000000000000004">
      <c r="A14" s="18" t="s">
        <v>160</v>
      </c>
    </row>
    <row r="15" spans="1:15" x14ac:dyDescent="0.35">
      <c r="A15" s="14" t="s">
        <v>103</v>
      </c>
      <c r="B15" s="17" t="s">
        <v>49</v>
      </c>
      <c r="C15" s="15" t="s">
        <v>50</v>
      </c>
      <c r="D15" s="17" t="s">
        <v>51</v>
      </c>
      <c r="E15" s="15" t="s">
        <v>52</v>
      </c>
      <c r="F15" s="17" t="s">
        <v>54</v>
      </c>
    </row>
    <row r="16" spans="1:15" x14ac:dyDescent="0.35">
      <c r="A16" s="7" t="s">
        <v>119</v>
      </c>
      <c r="B16" s="7">
        <v>20000</v>
      </c>
      <c r="C16" s="1" t="s">
        <v>5</v>
      </c>
      <c r="D16" s="12">
        <v>0</v>
      </c>
      <c r="E16" s="1" t="s">
        <v>6</v>
      </c>
      <c r="F16" s="12">
        <v>24</v>
      </c>
    </row>
    <row r="17" spans="1:6" x14ac:dyDescent="0.35">
      <c r="A17" s="7" t="s">
        <v>120</v>
      </c>
      <c r="B17" s="7">
        <v>20002</v>
      </c>
      <c r="C17" s="1" t="s">
        <v>5</v>
      </c>
      <c r="D17" s="12">
        <v>0</v>
      </c>
      <c r="E17" s="1" t="s">
        <v>6</v>
      </c>
      <c r="F17" s="12">
        <v>24</v>
      </c>
    </row>
    <row r="18" spans="1:6" x14ac:dyDescent="0.35">
      <c r="A18" s="7" t="s">
        <v>121</v>
      </c>
      <c r="B18" s="7">
        <v>20004</v>
      </c>
      <c r="C18" s="1" t="s">
        <v>5</v>
      </c>
      <c r="D18" s="12">
        <v>0</v>
      </c>
      <c r="E18" s="1" t="s">
        <v>6</v>
      </c>
      <c r="F18" s="12">
        <v>24</v>
      </c>
    </row>
    <row r="19" spans="1:6" x14ac:dyDescent="0.35">
      <c r="A19" s="7" t="s">
        <v>122</v>
      </c>
      <c r="B19" s="7">
        <v>20006</v>
      </c>
      <c r="C19" s="1" t="s">
        <v>5</v>
      </c>
      <c r="D19" s="12">
        <v>0</v>
      </c>
      <c r="E19" s="1" t="s">
        <v>6</v>
      </c>
      <c r="F19" s="12">
        <v>24</v>
      </c>
    </row>
    <row r="20" spans="1:6" x14ac:dyDescent="0.35">
      <c r="A20" s="7" t="s">
        <v>123</v>
      </c>
      <c r="B20" s="7">
        <v>20008</v>
      </c>
      <c r="C20" s="1" t="s">
        <v>5</v>
      </c>
      <c r="D20" s="12">
        <v>0</v>
      </c>
      <c r="E20" s="1" t="s">
        <v>6</v>
      </c>
      <c r="F20" s="12">
        <v>24</v>
      </c>
    </row>
    <row r="21" spans="1:6" x14ac:dyDescent="0.35">
      <c r="A21" s="7" t="s">
        <v>124</v>
      </c>
      <c r="B21" s="7">
        <v>20010</v>
      </c>
      <c r="C21" s="1" t="s">
        <v>5</v>
      </c>
      <c r="D21" s="12">
        <v>0</v>
      </c>
      <c r="E21" s="1" t="s">
        <v>6</v>
      </c>
      <c r="F21" s="12">
        <v>24</v>
      </c>
    </row>
    <row r="22" spans="1:6" x14ac:dyDescent="0.35">
      <c r="A22" s="7" t="s">
        <v>125</v>
      </c>
      <c r="B22" s="7">
        <v>20012</v>
      </c>
      <c r="C22" s="1" t="s">
        <v>5</v>
      </c>
      <c r="D22" s="12">
        <v>0</v>
      </c>
      <c r="E22" s="1" t="s">
        <v>6</v>
      </c>
      <c r="F22" s="12">
        <v>24</v>
      </c>
    </row>
    <row r="23" spans="1:6" x14ac:dyDescent="0.35">
      <c r="A23" s="7" t="s">
        <v>126</v>
      </c>
      <c r="B23" s="7">
        <v>20014</v>
      </c>
      <c r="C23" s="1" t="s">
        <v>5</v>
      </c>
      <c r="D23" s="12">
        <v>0</v>
      </c>
      <c r="E23" s="1" t="s">
        <v>6</v>
      </c>
      <c r="F23" s="12">
        <v>24</v>
      </c>
    </row>
    <row r="24" spans="1:6" x14ac:dyDescent="0.35">
      <c r="A24" s="7" t="s">
        <v>127</v>
      </c>
      <c r="B24" s="7">
        <v>20016</v>
      </c>
      <c r="C24" s="1" t="s">
        <v>5</v>
      </c>
      <c r="D24" s="12">
        <v>0</v>
      </c>
      <c r="E24" s="1" t="s">
        <v>6</v>
      </c>
      <c r="F24" s="12">
        <v>24</v>
      </c>
    </row>
    <row r="25" spans="1:6" x14ac:dyDescent="0.35">
      <c r="A25" s="7" t="s">
        <v>128</v>
      </c>
      <c r="B25" s="7">
        <v>20018</v>
      </c>
      <c r="C25" s="1" t="s">
        <v>5</v>
      </c>
      <c r="D25" s="12">
        <v>0</v>
      </c>
      <c r="E25" s="1" t="s">
        <v>6</v>
      </c>
      <c r="F25" s="12">
        <v>24</v>
      </c>
    </row>
    <row r="26" spans="1:6" x14ac:dyDescent="0.35">
      <c r="A26" s="7" t="s">
        <v>129</v>
      </c>
      <c r="B26" s="7">
        <v>20020</v>
      </c>
      <c r="C26" s="1" t="s">
        <v>5</v>
      </c>
      <c r="D26" s="12">
        <v>0</v>
      </c>
      <c r="E26" s="1" t="s">
        <v>6</v>
      </c>
      <c r="F26" s="12">
        <v>24</v>
      </c>
    </row>
    <row r="27" spans="1:6" x14ac:dyDescent="0.35">
      <c r="A27" s="7" t="s">
        <v>130</v>
      </c>
      <c r="B27" s="7">
        <v>20022</v>
      </c>
      <c r="C27" s="1" t="s">
        <v>5</v>
      </c>
      <c r="D27" s="12">
        <v>0</v>
      </c>
      <c r="E27" s="1" t="s">
        <v>6</v>
      </c>
      <c r="F27" s="12">
        <v>24</v>
      </c>
    </row>
    <row r="28" spans="1:6" x14ac:dyDescent="0.35">
      <c r="A28" s="7" t="s">
        <v>131</v>
      </c>
      <c r="B28" s="7">
        <v>20024</v>
      </c>
      <c r="C28" s="1" t="s">
        <v>5</v>
      </c>
      <c r="D28" s="12">
        <v>0</v>
      </c>
      <c r="E28" s="1" t="s">
        <v>6</v>
      </c>
      <c r="F28" s="12">
        <v>24</v>
      </c>
    </row>
    <row r="29" spans="1:6" x14ac:dyDescent="0.35">
      <c r="A29" s="7" t="s">
        <v>132</v>
      </c>
      <c r="B29" s="7">
        <v>20026</v>
      </c>
      <c r="C29" s="1" t="s">
        <v>5</v>
      </c>
      <c r="D29" s="12">
        <v>0</v>
      </c>
      <c r="E29" s="1" t="s">
        <v>6</v>
      </c>
      <c r="F29" s="12">
        <v>24</v>
      </c>
    </row>
    <row r="30" spans="1:6" x14ac:dyDescent="0.35">
      <c r="A30" s="7" t="s">
        <v>133</v>
      </c>
      <c r="B30" s="7">
        <v>20028</v>
      </c>
      <c r="C30" s="1" t="s">
        <v>5</v>
      </c>
      <c r="D30" s="12">
        <v>0</v>
      </c>
      <c r="E30" s="1" t="s">
        <v>6</v>
      </c>
      <c r="F30" s="12">
        <v>24</v>
      </c>
    </row>
    <row r="31" spans="1:6" x14ac:dyDescent="0.35">
      <c r="A31" s="7" t="s">
        <v>134</v>
      </c>
      <c r="B31" s="7">
        <v>20030</v>
      </c>
      <c r="C31" s="1" t="s">
        <v>5</v>
      </c>
      <c r="D31" s="12">
        <v>0</v>
      </c>
      <c r="E31" s="1" t="s">
        <v>6</v>
      </c>
      <c r="F31" s="12">
        <v>24</v>
      </c>
    </row>
    <row r="32" spans="1:6" x14ac:dyDescent="0.35">
      <c r="A32" s="7" t="s">
        <v>135</v>
      </c>
      <c r="B32" s="7">
        <v>20032</v>
      </c>
      <c r="C32" s="1" t="s">
        <v>5</v>
      </c>
      <c r="D32" s="12">
        <v>0</v>
      </c>
      <c r="E32" s="1" t="s">
        <v>6</v>
      </c>
      <c r="F32" s="12">
        <v>24</v>
      </c>
    </row>
    <row r="33" spans="1:6" x14ac:dyDescent="0.35">
      <c r="A33" s="7" t="s">
        <v>136</v>
      </c>
      <c r="B33" s="7">
        <v>20034</v>
      </c>
      <c r="C33" s="1" t="s">
        <v>5</v>
      </c>
      <c r="D33" s="12">
        <v>0</v>
      </c>
      <c r="E33" s="1" t="s">
        <v>6</v>
      </c>
      <c r="F33" s="12">
        <v>24</v>
      </c>
    </row>
    <row r="34" spans="1:6" x14ac:dyDescent="0.35">
      <c r="A34" s="7" t="s">
        <v>137</v>
      </c>
      <c r="B34" s="7">
        <v>20036</v>
      </c>
      <c r="C34" s="1" t="s">
        <v>5</v>
      </c>
      <c r="D34" s="12">
        <v>0</v>
      </c>
      <c r="E34" s="1" t="s">
        <v>6</v>
      </c>
      <c r="F34" s="12">
        <v>24</v>
      </c>
    </row>
    <row r="35" spans="1:6" x14ac:dyDescent="0.35">
      <c r="A35" s="7" t="s">
        <v>138</v>
      </c>
      <c r="B35" s="7">
        <v>20038</v>
      </c>
      <c r="C35" s="1" t="s">
        <v>5</v>
      </c>
      <c r="D35" s="12">
        <v>0</v>
      </c>
      <c r="E35" s="1" t="s">
        <v>6</v>
      </c>
      <c r="F35" s="12">
        <v>24</v>
      </c>
    </row>
    <row r="36" spans="1:6" x14ac:dyDescent="0.35">
      <c r="A36" s="7" t="s">
        <v>139</v>
      </c>
      <c r="B36" s="7">
        <v>20040</v>
      </c>
      <c r="C36" s="1" t="s">
        <v>5</v>
      </c>
      <c r="D36" s="12">
        <v>0</v>
      </c>
      <c r="E36" s="1" t="s">
        <v>6</v>
      </c>
      <c r="F36" s="12">
        <v>24</v>
      </c>
    </row>
    <row r="37" spans="1:6" x14ac:dyDescent="0.35">
      <c r="A37" s="7" t="s">
        <v>140</v>
      </c>
      <c r="B37" s="7">
        <v>20042</v>
      </c>
      <c r="C37" s="1" t="s">
        <v>5</v>
      </c>
      <c r="D37" s="12">
        <v>0</v>
      </c>
      <c r="E37" s="1" t="s">
        <v>6</v>
      </c>
      <c r="F37" s="12">
        <v>24</v>
      </c>
    </row>
    <row r="38" spans="1:6" x14ac:dyDescent="0.35">
      <c r="A38" s="7" t="s">
        <v>141</v>
      </c>
      <c r="B38" s="7">
        <v>20044</v>
      </c>
      <c r="C38" s="1" t="s">
        <v>5</v>
      </c>
      <c r="D38" s="12">
        <v>0</v>
      </c>
      <c r="E38" s="1" t="s">
        <v>6</v>
      </c>
      <c r="F38" s="12">
        <v>24</v>
      </c>
    </row>
    <row r="39" spans="1:6" x14ac:dyDescent="0.35">
      <c r="A39" s="7" t="s">
        <v>142</v>
      </c>
      <c r="B39" s="7">
        <v>20046</v>
      </c>
      <c r="C39" s="1" t="s">
        <v>5</v>
      </c>
      <c r="D39" s="12">
        <v>0</v>
      </c>
      <c r="E39" s="1" t="s">
        <v>6</v>
      </c>
      <c r="F39" s="12">
        <v>24</v>
      </c>
    </row>
    <row r="40" spans="1:6" x14ac:dyDescent="0.35">
      <c r="A40" s="7" t="s">
        <v>143</v>
      </c>
      <c r="B40" s="7">
        <v>20048</v>
      </c>
      <c r="C40" s="1" t="s">
        <v>5</v>
      </c>
      <c r="D40" s="12">
        <v>0</v>
      </c>
      <c r="E40" s="1" t="s">
        <v>6</v>
      </c>
      <c r="F40" s="12">
        <v>24</v>
      </c>
    </row>
    <row r="41" spans="1:6" x14ac:dyDescent="0.35">
      <c r="A41" s="7" t="s">
        <v>144</v>
      </c>
      <c r="B41" s="7">
        <v>20050</v>
      </c>
      <c r="C41" s="1" t="s">
        <v>5</v>
      </c>
      <c r="D41" s="12">
        <v>0</v>
      </c>
      <c r="E41" s="1" t="s">
        <v>6</v>
      </c>
      <c r="F41" s="12">
        <v>24</v>
      </c>
    </row>
    <row r="42" spans="1:6" x14ac:dyDescent="0.35">
      <c r="A42" s="7" t="s">
        <v>145</v>
      </c>
      <c r="B42" s="7">
        <v>20052</v>
      </c>
      <c r="C42" s="1" t="s">
        <v>5</v>
      </c>
      <c r="D42" s="12">
        <v>0</v>
      </c>
      <c r="E42" s="1" t="s">
        <v>6</v>
      </c>
      <c r="F42" s="12">
        <v>24</v>
      </c>
    </row>
    <row r="43" spans="1:6" x14ac:dyDescent="0.35">
      <c r="A43" s="7" t="s">
        <v>146</v>
      </c>
      <c r="B43" s="7">
        <v>20054</v>
      </c>
      <c r="C43" s="1" t="s">
        <v>5</v>
      </c>
      <c r="D43" s="12">
        <v>0</v>
      </c>
      <c r="E43" s="1" t="s">
        <v>6</v>
      </c>
      <c r="F43" s="12">
        <v>24</v>
      </c>
    </row>
    <row r="44" spans="1:6" x14ac:dyDescent="0.35">
      <c r="A44" s="7" t="s">
        <v>147</v>
      </c>
      <c r="B44" s="7">
        <v>20058</v>
      </c>
      <c r="C44" s="1" t="s">
        <v>5</v>
      </c>
      <c r="D44" s="12">
        <v>0</v>
      </c>
      <c r="E44" s="1" t="s">
        <v>6</v>
      </c>
      <c r="F44" s="12">
        <v>24</v>
      </c>
    </row>
    <row r="45" spans="1:6" x14ac:dyDescent="0.35">
      <c r="A45" s="7" t="s">
        <v>148</v>
      </c>
      <c r="B45" s="7">
        <v>20060</v>
      </c>
      <c r="C45" s="1" t="s">
        <v>5</v>
      </c>
      <c r="D45" s="12">
        <v>0</v>
      </c>
      <c r="E45" s="1" t="s">
        <v>6</v>
      </c>
      <c r="F45" s="12">
        <v>24</v>
      </c>
    </row>
    <row r="46" spans="1:6" x14ac:dyDescent="0.35">
      <c r="A46" s="7" t="s">
        <v>110</v>
      </c>
      <c r="B46" s="7">
        <v>21000</v>
      </c>
      <c r="C46" s="1" t="s">
        <v>5</v>
      </c>
      <c r="D46" s="12">
        <v>0</v>
      </c>
      <c r="E46" s="1" t="s">
        <v>6</v>
      </c>
      <c r="F46" s="12">
        <v>24</v>
      </c>
    </row>
    <row r="47" spans="1:6" x14ac:dyDescent="0.35">
      <c r="A47" s="7" t="s">
        <v>111</v>
      </c>
      <c r="B47" s="7">
        <v>21002</v>
      </c>
      <c r="C47" s="1" t="s">
        <v>5</v>
      </c>
      <c r="D47" s="12">
        <v>0</v>
      </c>
      <c r="E47" s="1" t="s">
        <v>6</v>
      </c>
      <c r="F47" s="12">
        <v>24</v>
      </c>
    </row>
    <row r="48" spans="1:6" x14ac:dyDescent="0.35">
      <c r="A48" s="7" t="s">
        <v>112</v>
      </c>
      <c r="B48" s="7">
        <v>21004</v>
      </c>
      <c r="C48" s="1" t="s">
        <v>5</v>
      </c>
      <c r="D48" s="12">
        <v>0</v>
      </c>
      <c r="E48" s="1" t="s">
        <v>6</v>
      </c>
      <c r="F48" s="12">
        <v>24</v>
      </c>
    </row>
    <row r="49" spans="1:6" x14ac:dyDescent="0.35">
      <c r="A49" s="7" t="s">
        <v>113</v>
      </c>
      <c r="B49" s="7">
        <v>21006</v>
      </c>
      <c r="C49" s="1" t="s">
        <v>5</v>
      </c>
      <c r="D49" s="12">
        <v>0</v>
      </c>
      <c r="E49" s="1" t="s">
        <v>6</v>
      </c>
      <c r="F49" s="12">
        <v>24</v>
      </c>
    </row>
    <row r="50" spans="1:6" x14ac:dyDescent="0.35">
      <c r="A50" s="7" t="s">
        <v>114</v>
      </c>
      <c r="B50" s="7">
        <v>21008</v>
      </c>
      <c r="C50" s="1" t="s">
        <v>5</v>
      </c>
      <c r="D50" s="12">
        <v>0</v>
      </c>
      <c r="E50" s="1" t="s">
        <v>6</v>
      </c>
      <c r="F50" s="12">
        <v>24</v>
      </c>
    </row>
    <row r="51" spans="1:6" x14ac:dyDescent="0.35">
      <c r="A51" s="7" t="s">
        <v>115</v>
      </c>
      <c r="B51" s="7">
        <v>21010</v>
      </c>
      <c r="C51" s="1" t="s">
        <v>5</v>
      </c>
      <c r="D51" s="12">
        <v>0</v>
      </c>
      <c r="E51" s="1" t="s">
        <v>6</v>
      </c>
      <c r="F51" s="12">
        <v>24</v>
      </c>
    </row>
    <row r="52" spans="1:6" x14ac:dyDescent="0.35">
      <c r="A52" s="7" t="s">
        <v>116</v>
      </c>
      <c r="B52" s="7">
        <v>21012</v>
      </c>
      <c r="C52" s="1" t="s">
        <v>5</v>
      </c>
      <c r="D52" s="12">
        <v>0</v>
      </c>
      <c r="E52" s="1" t="s">
        <v>6</v>
      </c>
      <c r="F52" s="12">
        <v>24</v>
      </c>
    </row>
    <row r="53" spans="1:6" x14ac:dyDescent="0.35">
      <c r="A53" s="7" t="s">
        <v>117</v>
      </c>
      <c r="B53" s="7">
        <v>21014</v>
      </c>
      <c r="C53" s="1" t="s">
        <v>5</v>
      </c>
      <c r="D53" s="12">
        <v>0</v>
      </c>
      <c r="E53" s="1" t="s">
        <v>6</v>
      </c>
      <c r="F53" s="12">
        <v>24</v>
      </c>
    </row>
    <row r="54" spans="1:6" x14ac:dyDescent="0.35">
      <c r="A54" s="9" t="s">
        <v>118</v>
      </c>
      <c r="B54" s="9">
        <v>21016</v>
      </c>
      <c r="C54" s="10" t="s">
        <v>5</v>
      </c>
      <c r="D54" s="13">
        <v>0</v>
      </c>
      <c r="E54" s="10" t="s">
        <v>6</v>
      </c>
      <c r="F54" s="13">
        <v>24</v>
      </c>
    </row>
  </sheetData>
  <mergeCells count="1">
    <mergeCell ref="B5:O5"/>
  </mergeCells>
  <phoneticPr fontId="10" type="noConversion"/>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E22"/>
  <sheetViews>
    <sheetView zoomScaleNormal="100" workbookViewId="0">
      <selection activeCell="F15" sqref="F15"/>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5" ht="21" x14ac:dyDescent="0.5">
      <c r="A1" s="42" t="s">
        <v>85</v>
      </c>
      <c r="B1" s="41" t="s">
        <v>165</v>
      </c>
    </row>
    <row r="2" spans="1:5" ht="18.5" x14ac:dyDescent="0.45">
      <c r="B2" s="40" t="s">
        <v>164</v>
      </c>
    </row>
    <row r="5" spans="1:5" ht="14.5" x14ac:dyDescent="0.35">
      <c r="B5" s="1" t="s">
        <v>149</v>
      </c>
    </row>
    <row r="6" spans="1:5" ht="14.5" x14ac:dyDescent="0.35">
      <c r="A6" s="3" t="s">
        <v>53</v>
      </c>
      <c r="B6" s="47"/>
      <c r="C6" s="47"/>
    </row>
    <row r="7" spans="1:5" ht="14.5" x14ac:dyDescent="0.35">
      <c r="A7" s="3" t="s">
        <v>151</v>
      </c>
      <c r="B7" s="1"/>
      <c r="C7" s="1"/>
      <c r="D7" s="1"/>
      <c r="E7" s="1"/>
    </row>
    <row r="10" spans="1:5" ht="23.5" x14ac:dyDescent="0.55000000000000004">
      <c r="A10" s="18" t="s">
        <v>160</v>
      </c>
    </row>
    <row r="11" spans="1:5" ht="14.5" x14ac:dyDescent="0.35">
      <c r="A11" s="32" t="s">
        <v>86</v>
      </c>
      <c r="B11" s="17" t="s">
        <v>87</v>
      </c>
      <c r="C11" s="17" t="s">
        <v>88</v>
      </c>
    </row>
    <row r="12" spans="1:5" ht="14.5" x14ac:dyDescent="0.35">
      <c r="A12" s="32">
        <v>44927</v>
      </c>
      <c r="B12" s="17" t="s">
        <v>59</v>
      </c>
      <c r="C12" s="17">
        <v>200</v>
      </c>
      <c r="D12" s="2">
        <f>IFERROR(C12,20)</f>
        <v>200</v>
      </c>
    </row>
    <row r="13" spans="1:5" ht="14.5" x14ac:dyDescent="0.35">
      <c r="A13" s="32">
        <v>44928</v>
      </c>
      <c r="B13" s="17" t="s">
        <v>60</v>
      </c>
      <c r="C13" s="17" t="e">
        <v>#N/A</v>
      </c>
      <c r="D13" s="2">
        <f t="shared" ref="D13:D21" si="0">IFERROR(C13,20)</f>
        <v>20</v>
      </c>
    </row>
    <row r="14" spans="1:5" ht="14.5" x14ac:dyDescent="0.35">
      <c r="A14" s="32">
        <v>44929</v>
      </c>
      <c r="B14" s="17" t="s">
        <v>61</v>
      </c>
      <c r="C14" s="17">
        <v>50</v>
      </c>
      <c r="D14" s="2">
        <f t="shared" si="0"/>
        <v>50</v>
      </c>
    </row>
    <row r="15" spans="1:5" ht="14.5" x14ac:dyDescent="0.35">
      <c r="A15" s="32">
        <v>44930</v>
      </c>
      <c r="B15" s="17" t="s">
        <v>62</v>
      </c>
      <c r="C15" s="17" t="e">
        <v>#N/A</v>
      </c>
      <c r="D15" s="2">
        <f t="shared" si="0"/>
        <v>20</v>
      </c>
    </row>
    <row r="16" spans="1:5" ht="14.5" x14ac:dyDescent="0.35">
      <c r="A16" s="32">
        <v>44931</v>
      </c>
      <c r="B16" s="17" t="s">
        <v>63</v>
      </c>
      <c r="C16" s="17">
        <v>10</v>
      </c>
      <c r="D16" s="2">
        <f t="shared" si="0"/>
        <v>10</v>
      </c>
    </row>
    <row r="17" spans="1:4" ht="14.5" x14ac:dyDescent="0.35">
      <c r="A17" s="32">
        <v>44932</v>
      </c>
      <c r="B17" s="17" t="s">
        <v>152</v>
      </c>
      <c r="C17" s="17">
        <v>150</v>
      </c>
      <c r="D17" s="2">
        <f t="shared" si="0"/>
        <v>150</v>
      </c>
    </row>
    <row r="18" spans="1:4" ht="14.5" x14ac:dyDescent="0.35">
      <c r="A18" s="32">
        <v>44933</v>
      </c>
      <c r="B18" s="17" t="s">
        <v>153</v>
      </c>
      <c r="C18" s="17">
        <v>80</v>
      </c>
      <c r="D18" s="2">
        <f t="shared" si="0"/>
        <v>80</v>
      </c>
    </row>
    <row r="19" spans="1:4" ht="14.5" x14ac:dyDescent="0.35">
      <c r="A19" s="32">
        <v>44934</v>
      </c>
      <c r="B19" s="17" t="s">
        <v>154</v>
      </c>
      <c r="C19" s="17" t="e">
        <v>#N/A</v>
      </c>
      <c r="D19" s="2">
        <f t="shared" si="0"/>
        <v>20</v>
      </c>
    </row>
    <row r="20" spans="1:4" ht="14.5" x14ac:dyDescent="0.35">
      <c r="A20" s="32">
        <v>44935</v>
      </c>
      <c r="B20" s="17" t="s">
        <v>155</v>
      </c>
      <c r="C20" s="17">
        <v>30</v>
      </c>
      <c r="D20" s="2">
        <f t="shared" si="0"/>
        <v>30</v>
      </c>
    </row>
    <row r="21" spans="1:4" ht="14.5" x14ac:dyDescent="0.35">
      <c r="A21" s="32">
        <v>44936</v>
      </c>
      <c r="B21" s="17" t="s">
        <v>156</v>
      </c>
      <c r="C21" s="17" t="e">
        <v>#N/A</v>
      </c>
      <c r="D21" s="2">
        <f t="shared" si="0"/>
        <v>20</v>
      </c>
    </row>
    <row r="22" spans="1:4" ht="14.5" x14ac:dyDescent="0.35">
      <c r="B22" s="17" t="s">
        <v>157</v>
      </c>
      <c r="C22" s="25" cm="1">
        <f t="array" ref="C22">SUM(IFERROR(C12:C21,20))</f>
        <v>600</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6"/>
  <sheetViews>
    <sheetView zoomScale="70" zoomScaleNormal="70" workbookViewId="0">
      <selection activeCell="Q11" sqref="Q11"/>
    </sheetView>
  </sheetViews>
  <sheetFormatPr defaultColWidth="11" defaultRowHeight="13" x14ac:dyDescent="0.3"/>
  <cols>
    <col min="1" max="1" width="28.19921875" style="2" bestFit="1" customWidth="1"/>
    <col min="2" max="16384" width="11" style="2"/>
  </cols>
  <sheetData>
    <row r="1" spans="1:14" ht="21" x14ac:dyDescent="0.5">
      <c r="A1" s="42" t="s">
        <v>98</v>
      </c>
      <c r="B1" s="41" t="s">
        <v>173</v>
      </c>
    </row>
    <row r="3" spans="1:14" ht="14.5" x14ac:dyDescent="0.35">
      <c r="B3" s="1" t="s">
        <v>149</v>
      </c>
    </row>
    <row r="4" spans="1:14" ht="18.5" x14ac:dyDescent="0.45">
      <c r="A4" s="43" t="s">
        <v>53</v>
      </c>
      <c r="B4" s="1"/>
    </row>
    <row r="5" spans="1:14" ht="18.5" x14ac:dyDescent="0.45">
      <c r="A5" s="43" t="s">
        <v>151</v>
      </c>
      <c r="B5" s="1"/>
    </row>
    <row r="6" spans="1:14" ht="14.5" x14ac:dyDescent="0.35">
      <c r="A6" s="3"/>
      <c r="B6" s="1"/>
    </row>
    <row r="8" spans="1:14" ht="23.5" x14ac:dyDescent="0.55000000000000004">
      <c r="A8" s="18" t="s">
        <v>160</v>
      </c>
      <c r="M8" s="18" t="s">
        <v>161</v>
      </c>
    </row>
    <row r="9" spans="1:14" ht="14.5" x14ac:dyDescent="0.35">
      <c r="A9" s="26"/>
      <c r="B9" s="26" t="s">
        <v>89</v>
      </c>
      <c r="C9" s="26" t="s">
        <v>90</v>
      </c>
      <c r="D9" s="26" t="s">
        <v>91</v>
      </c>
      <c r="E9" s="26" t="s">
        <v>92</v>
      </c>
      <c r="F9" s="26" t="s">
        <v>93</v>
      </c>
      <c r="G9" s="26" t="s">
        <v>94</v>
      </c>
      <c r="H9" s="26" t="s">
        <v>95</v>
      </c>
      <c r="I9" s="26" t="s">
        <v>96</v>
      </c>
      <c r="J9" s="26" t="s">
        <v>97</v>
      </c>
      <c r="M9" s="19" t="s">
        <v>43</v>
      </c>
      <c r="N9" s="19" t="s">
        <v>99</v>
      </c>
    </row>
    <row r="10" spans="1:14" ht="14.5" x14ac:dyDescent="0.35">
      <c r="A10" s="26" t="s">
        <v>89</v>
      </c>
      <c r="B10" s="25">
        <v>-1</v>
      </c>
      <c r="C10" s="25">
        <v>95</v>
      </c>
      <c r="D10" s="25">
        <v>-1</v>
      </c>
      <c r="E10" s="25">
        <v>185</v>
      </c>
      <c r="F10" s="25">
        <v>255</v>
      </c>
      <c r="G10" s="25">
        <v>305</v>
      </c>
      <c r="H10" s="25">
        <v>415</v>
      </c>
      <c r="I10" s="25">
        <v>480</v>
      </c>
      <c r="J10" s="25">
        <v>525</v>
      </c>
      <c r="M10" s="12">
        <v>10100</v>
      </c>
      <c r="N10" s="12" t="s">
        <v>89</v>
      </c>
    </row>
    <row r="11" spans="1:14" ht="14.5" x14ac:dyDescent="0.35">
      <c r="A11" s="26" t="s">
        <v>90</v>
      </c>
      <c r="B11" s="25">
        <v>95</v>
      </c>
      <c r="C11" s="25">
        <v>-1</v>
      </c>
      <c r="D11" s="25">
        <v>-1</v>
      </c>
      <c r="E11" s="25">
        <v>90</v>
      </c>
      <c r="F11" s="25">
        <v>160</v>
      </c>
      <c r="G11" s="25">
        <v>210</v>
      </c>
      <c r="H11" s="25">
        <v>325</v>
      </c>
      <c r="I11" s="25">
        <v>390</v>
      </c>
      <c r="J11" s="25">
        <v>430</v>
      </c>
      <c r="M11" s="12">
        <v>10102</v>
      </c>
      <c r="N11" s="12" t="s">
        <v>90</v>
      </c>
    </row>
    <row r="12" spans="1:14" ht="14.5" x14ac:dyDescent="0.35">
      <c r="A12" s="26" t="s">
        <v>91</v>
      </c>
      <c r="B12" s="25">
        <v>-1</v>
      </c>
      <c r="C12" s="25">
        <v>-1</v>
      </c>
      <c r="D12" s="25">
        <v>-1</v>
      </c>
      <c r="E12" s="25">
        <v>60</v>
      </c>
      <c r="F12" s="25">
        <v>130</v>
      </c>
      <c r="G12" s="25">
        <v>180</v>
      </c>
      <c r="H12" s="25">
        <v>295</v>
      </c>
      <c r="I12" s="25">
        <v>355</v>
      </c>
      <c r="J12" s="25">
        <v>400</v>
      </c>
      <c r="M12" s="12">
        <v>10104</v>
      </c>
      <c r="N12" s="12" t="s">
        <v>91</v>
      </c>
    </row>
    <row r="13" spans="1:14" ht="14.5" x14ac:dyDescent="0.35">
      <c r="A13" s="26" t="s">
        <v>92</v>
      </c>
      <c r="B13" s="25">
        <v>185</v>
      </c>
      <c r="C13" s="25">
        <v>90</v>
      </c>
      <c r="D13" s="25">
        <v>60</v>
      </c>
      <c r="E13" s="25">
        <v>-1</v>
      </c>
      <c r="F13" s="25">
        <v>70</v>
      </c>
      <c r="G13" s="25">
        <v>120</v>
      </c>
      <c r="H13" s="25">
        <v>235</v>
      </c>
      <c r="I13" s="25">
        <v>300</v>
      </c>
      <c r="J13" s="25">
        <v>340</v>
      </c>
      <c r="M13" s="12">
        <v>10106</v>
      </c>
      <c r="N13" s="12" t="s">
        <v>92</v>
      </c>
    </row>
    <row r="14" spans="1:14" ht="14.5" x14ac:dyDescent="0.35">
      <c r="A14" s="26" t="s">
        <v>93</v>
      </c>
      <c r="B14" s="25">
        <v>255</v>
      </c>
      <c r="C14" s="25">
        <v>160</v>
      </c>
      <c r="D14" s="25">
        <v>130</v>
      </c>
      <c r="E14" s="25">
        <v>70</v>
      </c>
      <c r="F14" s="25">
        <v>-1</v>
      </c>
      <c r="G14" s="25">
        <v>50</v>
      </c>
      <c r="H14" s="25">
        <v>165</v>
      </c>
      <c r="I14" s="25">
        <v>230</v>
      </c>
      <c r="J14" s="25">
        <v>270</v>
      </c>
      <c r="M14" s="12">
        <v>10108</v>
      </c>
      <c r="N14" s="12" t="s">
        <v>93</v>
      </c>
    </row>
    <row r="15" spans="1:14" ht="14.5" x14ac:dyDescent="0.35">
      <c r="A15" s="26" t="s">
        <v>94</v>
      </c>
      <c r="B15" s="25">
        <v>305</v>
      </c>
      <c r="C15" s="25">
        <v>210</v>
      </c>
      <c r="D15" s="25">
        <v>180</v>
      </c>
      <c r="E15" s="25">
        <v>120</v>
      </c>
      <c r="F15" s="25">
        <v>50</v>
      </c>
      <c r="G15" s="25">
        <v>-1</v>
      </c>
      <c r="H15" s="25">
        <v>115</v>
      </c>
      <c r="I15" s="25">
        <v>180</v>
      </c>
      <c r="J15" s="25">
        <v>220</v>
      </c>
      <c r="M15" s="12">
        <v>10110</v>
      </c>
      <c r="N15" s="12" t="s">
        <v>94</v>
      </c>
    </row>
    <row r="16" spans="1:14" ht="14.5" x14ac:dyDescent="0.35">
      <c r="A16" s="26" t="s">
        <v>95</v>
      </c>
      <c r="B16" s="25">
        <v>415</v>
      </c>
      <c r="C16" s="25">
        <v>325</v>
      </c>
      <c r="D16" s="25">
        <v>295</v>
      </c>
      <c r="E16" s="25">
        <v>235</v>
      </c>
      <c r="F16" s="25">
        <v>165</v>
      </c>
      <c r="G16" s="25">
        <v>115</v>
      </c>
      <c r="H16" s="25">
        <v>-1</v>
      </c>
      <c r="I16" s="25">
        <v>65</v>
      </c>
      <c r="J16" s="25">
        <v>105</v>
      </c>
      <c r="M16" s="12">
        <v>10112</v>
      </c>
      <c r="N16" s="12" t="s">
        <v>95</v>
      </c>
    </row>
    <row r="17" spans="1:14" ht="14.5" x14ac:dyDescent="0.35">
      <c r="A17" s="26" t="s">
        <v>96</v>
      </c>
      <c r="B17" s="25">
        <v>480</v>
      </c>
      <c r="C17" s="25">
        <v>390</v>
      </c>
      <c r="D17" s="25">
        <v>355</v>
      </c>
      <c r="E17" s="25">
        <v>300</v>
      </c>
      <c r="F17" s="25">
        <v>230</v>
      </c>
      <c r="G17" s="25">
        <v>180</v>
      </c>
      <c r="H17" s="25">
        <v>65</v>
      </c>
      <c r="I17" s="25">
        <v>-1</v>
      </c>
      <c r="J17" s="25">
        <v>40</v>
      </c>
      <c r="M17" s="12">
        <v>10114</v>
      </c>
      <c r="N17" s="12" t="s">
        <v>96</v>
      </c>
    </row>
    <row r="18" spans="1:14" ht="14.5" x14ac:dyDescent="0.35">
      <c r="A18" s="26" t="s">
        <v>97</v>
      </c>
      <c r="B18" s="25">
        <v>525</v>
      </c>
      <c r="C18" s="25">
        <v>430</v>
      </c>
      <c r="D18" s="25">
        <v>400</v>
      </c>
      <c r="E18" s="25">
        <v>340</v>
      </c>
      <c r="F18" s="25">
        <v>270</v>
      </c>
      <c r="G18" s="25">
        <v>220</v>
      </c>
      <c r="H18" s="25">
        <v>105</v>
      </c>
      <c r="I18" s="25">
        <v>40</v>
      </c>
      <c r="J18" s="25">
        <v>-1</v>
      </c>
      <c r="M18" s="13">
        <v>10116</v>
      </c>
      <c r="N18" s="13" t="s">
        <v>97</v>
      </c>
    </row>
    <row r="21" spans="1:14" ht="23.5" x14ac:dyDescent="0.55000000000000004">
      <c r="A21" s="18" t="s">
        <v>166</v>
      </c>
    </row>
    <row r="22" spans="1:14" ht="14.5" x14ac:dyDescent="0.35">
      <c r="A22" s="14" t="s">
        <v>100</v>
      </c>
      <c r="B22" s="17" t="s">
        <v>101</v>
      </c>
      <c r="C22" s="16" t="s">
        <v>102</v>
      </c>
    </row>
    <row r="23" spans="1:14" ht="14.5" x14ac:dyDescent="0.35">
      <c r="A23" s="7">
        <v>10100</v>
      </c>
      <c r="B23" s="12">
        <v>10102</v>
      </c>
      <c r="C23" s="48">
        <f>IFERROR(INDEX($A$10:$J$18, MATCH(VLOOKUP(A23, $M$10:$N$18, 2, FALSE), $A$10:$A$18, 0), MATCH(VLOOKUP(B23, $M$10:$N$18, 2, FALSE), $A$9:$J$9, 0)), "")</f>
        <v>95</v>
      </c>
    </row>
    <row r="24" spans="1:14" ht="14.5" x14ac:dyDescent="0.35">
      <c r="A24" s="7">
        <v>10100</v>
      </c>
      <c r="B24" s="12">
        <v>10104</v>
      </c>
      <c r="C24" s="48">
        <f t="shared" ref="C24:C34" si="0">IFERROR(INDEX($A$10:$J$18, MATCH(VLOOKUP(A24, $M$10:$N$18, 2, FALSE), $A$10:$A$18, 0), MATCH(VLOOKUP(B24, $M$10:$N$18, 2, FALSE), $A$9:$J$9, 0)), "")</f>
        <v>-1</v>
      </c>
    </row>
    <row r="25" spans="1:14" ht="14.5" x14ac:dyDescent="0.35">
      <c r="A25" s="7">
        <v>10108</v>
      </c>
      <c r="B25" s="12">
        <v>10102</v>
      </c>
      <c r="C25" s="48">
        <f t="shared" si="0"/>
        <v>160</v>
      </c>
    </row>
    <row r="26" spans="1:14" ht="14.5" x14ac:dyDescent="0.35">
      <c r="A26" s="7">
        <v>10100</v>
      </c>
      <c r="B26" s="12">
        <v>10106</v>
      </c>
      <c r="C26" s="48">
        <f t="shared" si="0"/>
        <v>185</v>
      </c>
    </row>
    <row r="27" spans="1:14" ht="14.5" x14ac:dyDescent="0.35">
      <c r="A27" s="7">
        <v>10108</v>
      </c>
      <c r="B27" s="12">
        <v>10110</v>
      </c>
      <c r="C27" s="48">
        <f t="shared" si="0"/>
        <v>50</v>
      </c>
    </row>
    <row r="28" spans="1:14" ht="14.5" x14ac:dyDescent="0.35">
      <c r="A28" s="7">
        <v>10102</v>
      </c>
      <c r="B28" s="12">
        <v>10104</v>
      </c>
      <c r="C28" s="48">
        <f t="shared" si="0"/>
        <v>-1</v>
      </c>
    </row>
    <row r="29" spans="1:14" ht="14.5" x14ac:dyDescent="0.35">
      <c r="A29" s="7">
        <v>10106</v>
      </c>
      <c r="B29" s="12">
        <v>10108</v>
      </c>
      <c r="C29" s="48">
        <f t="shared" si="0"/>
        <v>70</v>
      </c>
    </row>
    <row r="30" spans="1:14" ht="14.5" x14ac:dyDescent="0.35">
      <c r="A30" s="7">
        <v>10102</v>
      </c>
      <c r="B30" s="12">
        <v>10106</v>
      </c>
      <c r="C30" s="48">
        <f t="shared" si="0"/>
        <v>90</v>
      </c>
    </row>
    <row r="31" spans="1:14" ht="14.5" x14ac:dyDescent="0.35">
      <c r="A31" s="7">
        <v>10110</v>
      </c>
      <c r="B31" s="12">
        <v>10114</v>
      </c>
      <c r="C31" s="48">
        <f t="shared" si="0"/>
        <v>180</v>
      </c>
    </row>
    <row r="32" spans="1:14" ht="14.5" x14ac:dyDescent="0.35">
      <c r="A32" s="7">
        <v>10104</v>
      </c>
      <c r="B32" s="12">
        <v>10106</v>
      </c>
      <c r="C32" s="48">
        <f t="shared" si="0"/>
        <v>60</v>
      </c>
    </row>
    <row r="33" spans="1:3" ht="14.5" x14ac:dyDescent="0.35">
      <c r="A33" s="7">
        <v>10110</v>
      </c>
      <c r="B33" s="12">
        <v>10112</v>
      </c>
      <c r="C33" s="48">
        <f t="shared" si="0"/>
        <v>115</v>
      </c>
    </row>
    <row r="34" spans="1:3" ht="14.5" x14ac:dyDescent="0.35">
      <c r="A34" s="7">
        <v>10100</v>
      </c>
      <c r="B34" s="12">
        <v>10114</v>
      </c>
      <c r="C34" s="48">
        <f t="shared" si="0"/>
        <v>480</v>
      </c>
    </row>
    <row r="35" spans="1:3" ht="14.5" x14ac:dyDescent="0.35">
      <c r="A35" s="9">
        <v>10112</v>
      </c>
      <c r="B35" s="13">
        <v>10116</v>
      </c>
      <c r="C35" s="48">
        <f>IFERROR(INDEX($A$10:$J$18, MATCH(VLOOKUP(A35, $M$10:$N$18, 2, FALSE), $A$10:$A$18, 0), MATCH(VLOOKUP(B35, $M$10:$N$18, 2, FALSE), $A$9:$J$9, 0)), "")</f>
        <v>105</v>
      </c>
    </row>
    <row r="36" spans="1:3" x14ac:dyDescent="0.3">
      <c r="C36" s="44" t="str">
        <f t="shared" ref="C36" si="1">IFERROR(INDEX($A$10:$I$18, MATCH(VLOOKUP(A35, $M$10:$N$18, 2, FALSE), $A$10:$A$18, 0), MATCH(VLOOKUP(B35, $M$10:$N$18, 2, FALSE), $A$9:$I$9, 0)), "")</f>
        <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Deepanshu Thakur</cp:lastModifiedBy>
  <dcterms:created xsi:type="dcterms:W3CDTF">2015-02-10T17:33:11Z</dcterms:created>
  <dcterms:modified xsi:type="dcterms:W3CDTF">2024-10-24T09:50:06Z</dcterms:modified>
</cp:coreProperties>
</file>